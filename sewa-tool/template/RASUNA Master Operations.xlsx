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jan\Downloads\"/>
    </mc:Choice>
  </mc:AlternateContent>
  <xr:revisionPtr revIDLastSave="0" documentId="13_ncr:1_{4FD2B08D-29C8-4CB9-9381-1C254E362370}" xr6:coauthVersionLast="47" xr6:coauthVersionMax="47" xr10:uidLastSave="{00000000-0000-0000-0000-000000000000}"/>
  <bookViews>
    <workbookView xWindow="-108" yWindow="-108" windowWidth="41496" windowHeight="16776" activeTab="5" xr2:uid="{00000000-000D-0000-FFFF-FFFF00000000}"/>
  </bookViews>
  <sheets>
    <sheet name="DASHBOARD" sheetId="1" r:id="rId1"/>
    <sheet name="DAILY FOLLOW-UP" sheetId="2" r:id="rId2"/>
    <sheet name="CLIENT PIPELINE" sheetId="3" r:id="rId3"/>
    <sheet name="ACTIVE EMPLOYEES" sheetId="4" r:id="rId4"/>
    <sheet name="READY TO WORK HCA" sheetId="5" r:id="rId5"/>
    <sheet name="HCA APPLICANTS" sheetId="6" r:id="rId6"/>
    <sheet name="Archive" sheetId="8" state="hidden" r:id="rId7"/>
  </sheets>
  <definedNames>
    <definedName name="_xlnm._FilterDatabase" localSheetId="3" hidden="1">'ACTIVE EMPLOYEES'!$A$1:$G$80</definedName>
    <definedName name="_xlnm._FilterDatabase" localSheetId="6" hidden="1">Archive!$A$1:$S$73</definedName>
    <definedName name="_xlnm._FilterDatabase" localSheetId="2" hidden="1">'CLIENT PIPELINE'!$A$1:$S$71</definedName>
    <definedName name="_xlnm._FilterDatabase" localSheetId="1" hidden="1">'DAILY FOLLOW-UP'!$A$1:$H$828</definedName>
    <definedName name="_xlnm._FilterDatabase" localSheetId="5" hidden="1">'HCA APPLICANTS'!$A$1:$I$142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EABsANG3lVaeLy7VB7HbYShRpKy/IZ6Hxc8P6TzL3pI="/>
    </ext>
  </extLst>
</workbook>
</file>

<file path=xl/calcChain.xml><?xml version="1.0" encoding="utf-8"?>
<calcChain xmlns="http://schemas.openxmlformats.org/spreadsheetml/2006/main">
  <c r="D11" i="1" l="1"/>
  <c r="C11" i="1"/>
  <c r="B11" i="1"/>
  <c r="A11" i="1"/>
  <c r="D8" i="1"/>
  <c r="C8" i="1"/>
  <c r="B8" i="1"/>
  <c r="A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7" authorId="0" shapeId="0" xr:uid="{00000000-0006-0000-0200-000001000000}">
      <text>
        <r>
          <rPr>
            <sz val="11"/>
            <color rgb="FF000000"/>
            <rFont val="Carlito"/>
            <scheme val="minor"/>
          </rPr>
          <t>======
ID#AAACHqEYvfQ
Kathleen Chaudhary    (2026-09-28 18:14:39)
@rajan.shahi@sewasenior.com
_Assigned to rajan.shahi@sewasenior.com_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l9ZxkVZ36T8i97tGEzWNOZ7hJCA=="/>
    </ext>
  </extLst>
</comments>
</file>

<file path=xl/sharedStrings.xml><?xml version="1.0" encoding="utf-8"?>
<sst xmlns="http://schemas.openxmlformats.org/spreadsheetml/2006/main" count="2317" uniqueCount="1036">
  <si>
    <t>Rasuna Care | Operations Dashboard</t>
  </si>
  <si>
    <t>Simple operating rule: each person lives in ONE tab only. When a status changes, MOVE the row to the next tab, do not copy it. Approved/active clients stay in Approved Clients. Current employees stay in Active Employees.</t>
  </si>
  <si>
    <t>Current Snapshot</t>
  </si>
  <si>
    <t>Approved / Active Clients</t>
  </si>
  <si>
    <t>Client Pipeline</t>
  </si>
  <si>
    <t>Active Employees</t>
  </si>
  <si>
    <t>Ready to Work HCA</t>
  </si>
  <si>
    <t>SN</t>
  </si>
  <si>
    <t>Employee ID</t>
  </si>
  <si>
    <t>Date</t>
  </si>
  <si>
    <t>Client Name</t>
  </si>
  <si>
    <t>HCA Name</t>
  </si>
  <si>
    <t>Type</t>
  </si>
  <si>
    <t>Phone / Main Contact</t>
  </si>
  <si>
    <t>Availability</t>
  </si>
  <si>
    <t>HCA Applicants</t>
  </si>
  <si>
    <t>Open / Waiting Follow-Ups</t>
  </si>
  <si>
    <t>Approved Clients Missing Case Manager</t>
  </si>
  <si>
    <t>Name</t>
  </si>
  <si>
    <t>Active HCAs Missing TTP</t>
  </si>
  <si>
    <t>Employment Status</t>
  </si>
  <si>
    <t>City</t>
  </si>
  <si>
    <t>Action / Note</t>
  </si>
  <si>
    <t>TTP</t>
  </si>
  <si>
    <t>ZIP</t>
  </si>
  <si>
    <t>Owner</t>
  </si>
  <si>
    <t>Pertinent Note</t>
  </si>
  <si>
    <t>Due / Follow-Up</t>
  </si>
  <si>
    <t>Insurance / MCO</t>
  </si>
  <si>
    <t>2</t>
  </si>
  <si>
    <t>Status</t>
  </si>
  <si>
    <t>Result / Follow-Up Note</t>
  </si>
  <si>
    <t>CCU</t>
  </si>
  <si>
    <t>Ankur Sharma</t>
  </si>
  <si>
    <t>Client Status</t>
  </si>
  <si>
    <t>Active</t>
  </si>
  <si>
    <t>Status Date</t>
  </si>
  <si>
    <t>CCU Case Manager</t>
  </si>
  <si>
    <t>Yes</t>
  </si>
  <si>
    <t>CCU CM Phone</t>
  </si>
  <si>
    <t>Binay</t>
  </si>
  <si>
    <t>CCU CM Email</t>
  </si>
  <si>
    <t>MCO Case Manager</t>
  </si>
  <si>
    <t>OLD WORKING NOTES</t>
  </si>
  <si>
    <t>MCO CM Phone</t>
  </si>
  <si>
    <t>MCO CM Email</t>
  </si>
  <si>
    <t>Who owns what</t>
  </si>
  <si>
    <t>6</t>
  </si>
  <si>
    <t>Referred By</t>
  </si>
  <si>
    <t>Edward Aronson</t>
  </si>
  <si>
    <t>Kathleen</t>
  </si>
  <si>
    <t>New client leads, CCU referrals, daily follow-ups, HCA applicants and paperwork follow-up.</t>
  </si>
  <si>
    <t>Next Follow-Up</t>
  </si>
  <si>
    <t>7</t>
  </si>
  <si>
    <t>Christopher Tran</t>
  </si>
  <si>
    <t>1</t>
  </si>
  <si>
    <t>Approved/active client setup, case manager information, active HCA compliance, TTP/training, and ready-to-work review.</t>
  </si>
  <si>
    <t>Rajan</t>
  </si>
  <si>
    <t>Escalations, exceptions, relationship issues, and management review.</t>
  </si>
  <si>
    <t>Nerissa Bomer Cruz</t>
  </si>
  <si>
    <t>Important</t>
  </si>
  <si>
    <t>The attached Client and Caregiver contact lists are treated as the current source of truth for Active Client IDs and Active Employee IDs.</t>
  </si>
  <si>
    <t>281-528-3875</t>
  </si>
  <si>
    <t xml:space="preserve">Privacy: keep SSN, RIN, medical details, background-check documents, and ID images out of this shared tracker. </t>
  </si>
  <si>
    <t>8</t>
  </si>
  <si>
    <t>Plainfield IL</t>
  </si>
  <si>
    <t>Gustavo Tapia</t>
  </si>
  <si>
    <t>HCA</t>
  </si>
  <si>
    <t>Rogelio Jr. Uy</t>
  </si>
  <si>
    <t>IDOA</t>
  </si>
  <si>
    <t xml:space="preserve">Onboard </t>
  </si>
  <si>
    <t>Will County</t>
  </si>
  <si>
    <t>Done</t>
  </si>
  <si>
    <t>17</t>
  </si>
  <si>
    <t>Referral Sent to CCU</t>
  </si>
  <si>
    <t>Roshan Karki</t>
  </si>
  <si>
    <t>21</t>
  </si>
  <si>
    <t>Client</t>
  </si>
  <si>
    <t>Shreekesh Tamrakar</t>
  </si>
  <si>
    <t>Milagros Cobarrubias - 7738144282</t>
  </si>
  <si>
    <t xml:space="preserve">Vangie referred. Transfer Case. Steve, Catholic Charities. Her daughter, Jenny Acosta to be a Caregiver, She is coming this Friday to process the paperwork. </t>
  </si>
  <si>
    <t>29</t>
  </si>
  <si>
    <t>Dikshit Mohindra</t>
  </si>
  <si>
    <t>Open</t>
  </si>
  <si>
    <t>Call Steve for the agreement</t>
  </si>
  <si>
    <t>9-28: Kat called, no answer</t>
  </si>
  <si>
    <t>30</t>
  </si>
  <si>
    <t>Pooja Kunwar</t>
  </si>
  <si>
    <t>Maria Zuniga</t>
  </si>
  <si>
    <t>Rolando Barredo</t>
  </si>
  <si>
    <t xml:space="preserve">Her mom is a potential client. We spoke with her couple time, she said her brother or sister in law will be the caregiver for mom. Steve has done the assessment and I think BCBS has to come for assessment. </t>
  </si>
  <si>
    <t>847-840-7388</t>
  </si>
  <si>
    <t>In Progress</t>
  </si>
  <si>
    <t>Prospect Heights</t>
  </si>
  <si>
    <t>33</t>
  </si>
  <si>
    <t>10-01: Called BCBS, responsive, Kat schedule to call Alyssa regarding updates</t>
  </si>
  <si>
    <t>Geonna Fleming</t>
  </si>
  <si>
    <t>Catholic Charities</t>
  </si>
  <si>
    <t>General</t>
  </si>
  <si>
    <t>Catalina Quintans</t>
  </si>
  <si>
    <t>Bj</t>
  </si>
  <si>
    <t>Her Caregiver, Susan will be on vacation next week. We need find her another Caregiver for next week and notify Catalina</t>
  </si>
  <si>
    <t>34</t>
  </si>
  <si>
    <t>847-479-5336</t>
  </si>
  <si>
    <t>Ketkesy Herena</t>
  </si>
  <si>
    <t>Binay talked to Isabelita and she said she will get back by the end of the day today.</t>
  </si>
  <si>
    <t>35</t>
  </si>
  <si>
    <t>John Mulligan</t>
  </si>
  <si>
    <t>Rajesh Shah, Habib Sheikh</t>
  </si>
  <si>
    <t>Leonida Dela Cruz 847-840-7388. Assessment on 10/8/26</t>
  </si>
  <si>
    <t>Cover Rajesh Shah's full hours for this month</t>
  </si>
  <si>
    <t>3</t>
  </si>
  <si>
    <t>37</t>
  </si>
  <si>
    <t>Sabrina Shrestha</t>
  </si>
  <si>
    <t>Edger Pichon</t>
  </si>
  <si>
    <t>224-488-0926</t>
  </si>
  <si>
    <t>Skokie</t>
  </si>
  <si>
    <t>39</t>
  </si>
  <si>
    <t>Binay Maharjan</t>
  </si>
  <si>
    <t>North Shore Senior</t>
  </si>
  <si>
    <t>Bishna Yadav</t>
  </si>
  <si>
    <t xml:space="preserve">Her son texted saying she went to Nepal for a vacation for six months. Binay Khadgi please remove the schedule. </t>
  </si>
  <si>
    <t>42</t>
  </si>
  <si>
    <t>Kalpana Chaudhary</t>
  </si>
  <si>
    <t>48</t>
  </si>
  <si>
    <t>Vivian Luong</t>
  </si>
  <si>
    <t xml:space="preserve">Binay Khadgi 9.28 -Check with Marylyn they are back from vacation already, Merilyn will follow up with CCU and will update us. </t>
  </si>
  <si>
    <t>removed all the schedule and permanent schedule</t>
  </si>
  <si>
    <t>4</t>
  </si>
  <si>
    <t>Emerita Cruz</t>
  </si>
  <si>
    <t>Elma Pichon</t>
  </si>
  <si>
    <t>Madel referred. Transfer Case. Daughter in law, Tracy needs to be contacted</t>
  </si>
  <si>
    <t>49</t>
  </si>
  <si>
    <t>Shazia Abid</t>
  </si>
  <si>
    <t>9/22 Rajan texted, 9.30 Rajan texted again no reply from Tracy. Tracy replied saying she will contact us today 10.5.26</t>
  </si>
  <si>
    <t>53</t>
  </si>
  <si>
    <t>Shitalben Patel</t>
  </si>
  <si>
    <t>Lusta Johnson</t>
  </si>
  <si>
    <t>He wants granddaughter to be a caregiver so we need to process paperwork. Follow up with her ASAP.</t>
  </si>
  <si>
    <t>54</t>
  </si>
  <si>
    <t xml:space="preserve">Kat Called, Lusta is aware of Ariel coming in on Monday. Clarified that Shakita will be out of state to take care of mother in law. </t>
  </si>
  <si>
    <t>Saniya Ali Shaikh</t>
  </si>
  <si>
    <t>Shakita</t>
  </si>
  <si>
    <t>Confirm with her about her schedule change as Lusta mentioned. Also ask her about the client she said she may know or transfer here</t>
  </si>
  <si>
    <t>9/22: Called Shakita, left a voicemail (11:15am).</t>
  </si>
  <si>
    <t>56</t>
  </si>
  <si>
    <t>Malgorzata Al-Any</t>
  </si>
  <si>
    <t>Maida Auza</t>
  </si>
  <si>
    <t>5</t>
  </si>
  <si>
    <t>Follow up to see her availability to process paperwork</t>
  </si>
  <si>
    <t>Ernesto San Diego</t>
  </si>
  <si>
    <t>224-567-1751</t>
  </si>
  <si>
    <t>10-01: Kat will contact Maida tomorrow 10-02</t>
  </si>
  <si>
    <t>Chicago</t>
  </si>
  <si>
    <t>57</t>
  </si>
  <si>
    <t>Madhur Karki</t>
  </si>
  <si>
    <t>Premier North</t>
  </si>
  <si>
    <t>Timothy</t>
  </si>
  <si>
    <t>Send to CCU</t>
  </si>
  <si>
    <t xml:space="preserve">9/22: Got in touch with Timothy, confirmed all of the details of the form, will send out referral sheet this week. </t>
  </si>
  <si>
    <t>63</t>
  </si>
  <si>
    <t>Jessica Rodriguez</t>
  </si>
  <si>
    <t>Ariel Randle</t>
  </si>
  <si>
    <t>Send a follow up text about the onboarding appointment and location</t>
  </si>
  <si>
    <t>66</t>
  </si>
  <si>
    <t>Andrea Hernandez</t>
  </si>
  <si>
    <t>10/08/26 Assessment</t>
  </si>
  <si>
    <t>Milli</t>
  </si>
  <si>
    <t>Milli is looking her mom to transfer. Follow up with her.</t>
  </si>
  <si>
    <t>Rosalina R Ocampo</t>
  </si>
  <si>
    <t>68</t>
  </si>
  <si>
    <t>773-501-7090</t>
  </si>
  <si>
    <t>Annabelle Jayco</t>
  </si>
  <si>
    <t>Morton Grove</t>
  </si>
  <si>
    <t>Carmen Cruz</t>
  </si>
  <si>
    <t>Follow up with daughter Mildred on transfer case.</t>
  </si>
  <si>
    <t>Phone</t>
  </si>
  <si>
    <t>ZIP / Area</t>
  </si>
  <si>
    <t>70</t>
  </si>
  <si>
    <t>9/25: Called, left voicemail. Will follow up following week. 9-28: Followed up, left voicemail, messaged Madel. Madel mentioned to contact the Cruz's 2:30pm m-f</t>
  </si>
  <si>
    <t>Pilar Hernandez</t>
  </si>
  <si>
    <t>Experience</t>
  </si>
  <si>
    <t>Nanette Acide &amp; Jose Acido</t>
  </si>
  <si>
    <t>71</t>
  </si>
  <si>
    <t>Fred Baltazar</t>
  </si>
  <si>
    <t>HCA: 224-522-2163 Menen, Follow up with her Binay spoke and sent the CCU number to follow up.</t>
  </si>
  <si>
    <t>76</t>
  </si>
  <si>
    <t>Vangie reffered. Call them and if they don't pick up the call, follow up with Vangie.</t>
  </si>
  <si>
    <t>Pedrito Mejorada</t>
  </si>
  <si>
    <t>Silverio Mogol</t>
  </si>
  <si>
    <t>10-01: Kat will follow up wiht Vangie about this case tomorrow 10-02</t>
  </si>
  <si>
    <t>312-312-1900</t>
  </si>
  <si>
    <t>72</t>
  </si>
  <si>
    <t>BCBS</t>
  </si>
  <si>
    <t>Kirti Lnu</t>
  </si>
  <si>
    <t>Eva Mirales</t>
  </si>
  <si>
    <t xml:space="preserve">Premier North, </t>
  </si>
  <si>
    <t>Send to CCU, call daughter to be FHCA</t>
  </si>
  <si>
    <t>Called, will send to CCU. Must contact her daughter for potential FHCA. 10-01: Daughter wants to reschedule. Kat will follow up next week the week of the 5th</t>
  </si>
  <si>
    <t xml:space="preserve">Wandy </t>
  </si>
  <si>
    <t>773-519-3294</t>
  </si>
  <si>
    <t>81</t>
  </si>
  <si>
    <t>73</t>
  </si>
  <si>
    <t>Kaminiben Patel</t>
  </si>
  <si>
    <t>Bryan Hydel</t>
  </si>
  <si>
    <t>Leonila Santiago</t>
  </si>
  <si>
    <t>Linda Harris</t>
  </si>
  <si>
    <t>630-824-6684</t>
  </si>
  <si>
    <t>75</t>
  </si>
  <si>
    <t>Ready to Work</t>
  </si>
  <si>
    <t>Hema Shah</t>
  </si>
  <si>
    <t xml:space="preserve">10-01: Kat followed up with Allyssa, 10-02: Kat contacted BCBS, assigned case coordinator but has not scheduled a home assessment yet. </t>
  </si>
  <si>
    <t>MaLuisa Santiago</t>
  </si>
  <si>
    <t>Schedule onboarding</t>
  </si>
  <si>
    <t>Luzviminnda Castro</t>
  </si>
  <si>
    <t>83</t>
  </si>
  <si>
    <t>847-852-6113</t>
  </si>
  <si>
    <t>Evangeline Sipple</t>
  </si>
  <si>
    <t>78</t>
  </si>
  <si>
    <t>Melvie Mc Queen</t>
  </si>
  <si>
    <t>Staycee</t>
  </si>
  <si>
    <t>Waiting for paperwork. Her mom trasfering to us. Milvia is the case manager from Solutions For Care</t>
  </si>
  <si>
    <t>80</t>
  </si>
  <si>
    <t>Hilario Hernandez</t>
  </si>
  <si>
    <t>Derrick Boyd</t>
  </si>
  <si>
    <t>Care Giver Daisy 847-852-6113, Follow up with her, Binay Spoke with HCA. HCA followed up with CCU, they are in the queue. CCU notified on 10/25/26</t>
  </si>
  <si>
    <t>His dad Aaron will be a client. Derrick's HCA onboarding needs to complete</t>
  </si>
  <si>
    <t>9</t>
  </si>
  <si>
    <t>Elizabeth Cagaco</t>
  </si>
  <si>
    <t>773-765-8844</t>
  </si>
  <si>
    <t>82</t>
  </si>
  <si>
    <t>Patrocina Borja</t>
  </si>
  <si>
    <t>Talked to Derrick, he will come next week to fill out paperwork. Derrick is coming this wednesday.</t>
  </si>
  <si>
    <t>85</t>
  </si>
  <si>
    <t>Jecel Lourdes Ymalay</t>
  </si>
  <si>
    <t>Kat will recreate the EVV How To Document</t>
  </si>
  <si>
    <t>84</t>
  </si>
  <si>
    <t>Gladis Tamras</t>
  </si>
  <si>
    <t>On Hold</t>
  </si>
  <si>
    <t>Melody (773-656-2333)</t>
  </si>
  <si>
    <t>Not Eligible - No Action Required</t>
  </si>
  <si>
    <t>10</t>
  </si>
  <si>
    <t>86</t>
  </si>
  <si>
    <t>Milagros Nano</t>
  </si>
  <si>
    <t>Arun Karki</t>
  </si>
  <si>
    <t>773-766-7713</t>
  </si>
  <si>
    <t>88</t>
  </si>
  <si>
    <t>Puribahen Patel</t>
  </si>
  <si>
    <t>Faith Walker</t>
  </si>
  <si>
    <t>Call her to schedule an onboarding</t>
  </si>
  <si>
    <t>87</t>
  </si>
  <si>
    <t>Shirley Rodriguez</t>
  </si>
  <si>
    <t>Coming October 1 at 1:30 PM. Prepare EVV docs. Prepare Timothy folder</t>
  </si>
  <si>
    <t>Timothy D Wallace</t>
  </si>
  <si>
    <t xml:space="preserve">MCO Client, inform Client About two Assessment, Send our Flyers &amp; Brochure </t>
  </si>
  <si>
    <t>95</t>
  </si>
  <si>
    <t>Lea Allaine Cruz</t>
  </si>
  <si>
    <t>Through Vivienne - Lubin Paiso (HCA), Follow up, Binay Spoke with Lubin, no any calls from CCU 10/28/26</t>
  </si>
  <si>
    <t>Prepare EVV docs. Prepare Timothy folder</t>
  </si>
  <si>
    <t>90</t>
  </si>
  <si>
    <t>11</t>
  </si>
  <si>
    <t>Alma Gaviola</t>
  </si>
  <si>
    <t>Vastupal Shah</t>
  </si>
  <si>
    <t>773-960-8295</t>
  </si>
  <si>
    <t>Maricris Cadiente</t>
  </si>
  <si>
    <t>Vacation</t>
  </si>
  <si>
    <t>Eva's daughter, call to check her availabity to be FHCA</t>
  </si>
  <si>
    <t>9-28: Kat Called, scheduled Thursday October 1 for onboarding. 10/01: Wanted to reschedule. Kat will follow up next week</t>
  </si>
  <si>
    <t>Coming back on October 6th</t>
  </si>
  <si>
    <t>Contact 8476512005 to get info -- follow up</t>
  </si>
  <si>
    <t>91</t>
  </si>
  <si>
    <t>Amor Diacan</t>
  </si>
  <si>
    <t>99</t>
  </si>
  <si>
    <t>Called, unable to leave voicemail bc mailbox is not set up</t>
  </si>
  <si>
    <t>Cristy Papa</t>
  </si>
  <si>
    <t xml:space="preserve">Contact 773-960-8295, Binay Spoke with Mr Shah, Mr Shah told he will sent September Bank Account to case manager once he received from bank. </t>
  </si>
  <si>
    <t>12</t>
  </si>
  <si>
    <t>92</t>
  </si>
  <si>
    <t>Beatriz Ymalay</t>
  </si>
  <si>
    <t>Shirley Torres</t>
  </si>
  <si>
    <t>Ma Flordeliza Borja</t>
  </si>
  <si>
    <t>847-630-6314</t>
  </si>
  <si>
    <t>Vangie will inform when to contact. Follow up with Vangie end of this week</t>
  </si>
  <si>
    <t>Buffalo Grove</t>
  </si>
  <si>
    <t>104</t>
  </si>
  <si>
    <t>93</t>
  </si>
  <si>
    <t>Jasmine (Denise's Daughter)</t>
  </si>
  <si>
    <t>Taquavia Jackson</t>
  </si>
  <si>
    <t>Leonida Dela Cruz</t>
  </si>
  <si>
    <t>Jasmine called she said she may not be able to work after 9/30, and we will need to find a caregiver for her mom &amp; aunt</t>
  </si>
  <si>
    <t>94</t>
  </si>
  <si>
    <t>Ric Saguin</t>
  </si>
  <si>
    <t>Binay Khadgi Check with them re:assessment</t>
  </si>
  <si>
    <t>105</t>
  </si>
  <si>
    <t>Denise is bringing her another sister to onboard, she will work as Caregiver for them</t>
  </si>
  <si>
    <t>13</t>
  </si>
  <si>
    <t>Marilyn Fernando</t>
  </si>
  <si>
    <t>Guido Ymalay</t>
  </si>
  <si>
    <t>98</t>
  </si>
  <si>
    <t>Ayesha Sayeed</t>
  </si>
  <si>
    <t>Mr/Mrs Subba</t>
  </si>
  <si>
    <t>Still waiting for CCU assessment. Find caregiver for them</t>
  </si>
  <si>
    <t>Sushma will follow up with them next week.</t>
  </si>
  <si>
    <t>102</t>
  </si>
  <si>
    <t>110</t>
  </si>
  <si>
    <t>Satya Maharjan</t>
  </si>
  <si>
    <t>Ma Paulita San Diego</t>
  </si>
  <si>
    <t>103</t>
  </si>
  <si>
    <t>Isabelita Gumabao</t>
  </si>
  <si>
    <t>14</t>
  </si>
  <si>
    <t>Anna Harmon</t>
  </si>
  <si>
    <t>847-624-1575</t>
  </si>
  <si>
    <t>114</t>
  </si>
  <si>
    <t>She is coming back from vacation. She also wants her daughter to be a caregiver</t>
  </si>
  <si>
    <t>Hoffman Estates</t>
  </si>
  <si>
    <t>Alyssa Mogal</t>
  </si>
  <si>
    <t>Kenneth Young</t>
  </si>
  <si>
    <t>106</t>
  </si>
  <si>
    <t>Lorna Pontiveros</t>
  </si>
  <si>
    <t>Pam</t>
  </si>
  <si>
    <t>Call potential client; HCA may be TP. 312-758-7308.</t>
  </si>
  <si>
    <t>117</t>
  </si>
  <si>
    <t>108</t>
  </si>
  <si>
    <t>Andres Ajos</t>
  </si>
  <si>
    <t>9/29/2026: unable to reach; checked call log and Binay first contacted this number July 20th, 2026.</t>
  </si>
  <si>
    <t>Sumnima Karki</t>
  </si>
  <si>
    <t>Need to find caregiver.</t>
  </si>
  <si>
    <t>15</t>
  </si>
  <si>
    <t>Rafael Dizon</t>
  </si>
  <si>
    <t>Purita Pacatong</t>
  </si>
  <si>
    <t>224-469-6169</t>
  </si>
  <si>
    <t>109</t>
  </si>
  <si>
    <t>Contact 312-678-3187</t>
  </si>
  <si>
    <t>Reanna Eira San Diego</t>
  </si>
  <si>
    <t>Waukegan</t>
  </si>
  <si>
    <t>122</t>
  </si>
  <si>
    <t>Menen Salas</t>
  </si>
  <si>
    <t xml:space="preserve">visit 9/25 to fill out client referral. </t>
  </si>
  <si>
    <t>111</t>
  </si>
  <si>
    <t>Lorna Pontiveras</t>
  </si>
  <si>
    <t>Alphonsus Cabagnot</t>
  </si>
  <si>
    <t>Verveware Schedule correction</t>
  </si>
  <si>
    <t>No</t>
  </si>
  <si>
    <t>124</t>
  </si>
  <si>
    <t>Daisy Romero</t>
  </si>
  <si>
    <t>112</t>
  </si>
  <si>
    <t>Susan Price</t>
  </si>
  <si>
    <t>HCA Melenie 224-469-6169, 9-28: Called 1:07 PM, left a voice message</t>
  </si>
  <si>
    <t>16</t>
  </si>
  <si>
    <t>Find a potential caregiver for Melodia Yanong</t>
  </si>
  <si>
    <t>Teresita Capati</t>
  </si>
  <si>
    <t>630-915-1188</t>
  </si>
  <si>
    <t>126</t>
  </si>
  <si>
    <t>Algonquin</t>
  </si>
  <si>
    <t>113</t>
  </si>
  <si>
    <t>Lubin Paiso</t>
  </si>
  <si>
    <t>Christain Karl Fernando</t>
  </si>
  <si>
    <t>Senior Services Accociates of Mc Henry Township</t>
  </si>
  <si>
    <t>Bishnu Marikhu</t>
  </si>
  <si>
    <t>He will be back from Nepal on October 2nd, Assesment on 10/07/2026</t>
  </si>
  <si>
    <t>115</t>
  </si>
  <si>
    <t>Herlinda Lucido</t>
  </si>
  <si>
    <t>130</t>
  </si>
  <si>
    <t>10/01/26 Binay Spoke with Rinu Marikhu, she will call the case manager. Rajan called his Case manager, Raphael and left a message    Sunil Tyata called, informed us that Case manager scheduled visit on 10/07/2026</t>
  </si>
  <si>
    <t>Melanie Dizon</t>
  </si>
  <si>
    <t>CC said ineligible due to medicare</t>
  </si>
  <si>
    <t>Rowena Cuevas</t>
  </si>
  <si>
    <t>116</t>
  </si>
  <si>
    <t>Alma referred. Follow up with Alma</t>
  </si>
  <si>
    <t>William Spencer</t>
  </si>
  <si>
    <t>773-744-1079</t>
  </si>
  <si>
    <t>131</t>
  </si>
  <si>
    <t>Regina Jackson</t>
  </si>
  <si>
    <t>118</t>
  </si>
  <si>
    <t>Grace Haugh</t>
  </si>
  <si>
    <t>Unable to unenroll from 24 hrs training, she already gave us training certificate, have to enroll in 12hrs training</t>
  </si>
  <si>
    <t>132</t>
  </si>
  <si>
    <t>119</t>
  </si>
  <si>
    <t>Angelito Davila</t>
  </si>
  <si>
    <t>Staycee Marion</t>
  </si>
  <si>
    <t>Pedrito Nedorada</t>
  </si>
  <si>
    <t>773-918-9233: Follow up with him following week about him and his wife</t>
  </si>
  <si>
    <t>123</t>
  </si>
  <si>
    <t>Razia Siddiqui</t>
  </si>
  <si>
    <t>133</t>
  </si>
  <si>
    <t>Check with Vangie if she received a call from Catholic Charities</t>
  </si>
  <si>
    <t>Marketing</t>
  </si>
  <si>
    <t>Nina Lavado</t>
  </si>
  <si>
    <t>18</t>
  </si>
  <si>
    <t>Work with Suyash marketing materials</t>
  </si>
  <si>
    <t>Ramiro Chavez-Cisneros</t>
  </si>
  <si>
    <t>773-312-1917</t>
  </si>
  <si>
    <t>Niles</t>
  </si>
  <si>
    <t>125</t>
  </si>
  <si>
    <t>Jasmine Taylor Gwin</t>
  </si>
  <si>
    <t>134</t>
  </si>
  <si>
    <t>Daniel Otano</t>
  </si>
  <si>
    <t>Saroj Karki</t>
  </si>
  <si>
    <t>Find a caregiver for Saroj karki within a week</t>
  </si>
  <si>
    <t>128</t>
  </si>
  <si>
    <t>Geraldine Berana</t>
  </si>
  <si>
    <t>Contact: 773-312-1917, Check to see if they received a call</t>
  </si>
  <si>
    <t>Devkota family</t>
  </si>
  <si>
    <t>136</t>
  </si>
  <si>
    <t>129</t>
  </si>
  <si>
    <t>Complete the referral and send them to CCU. Sushma filled out manually on 9.30.26</t>
  </si>
  <si>
    <t>Nelly Escobar</t>
  </si>
  <si>
    <t>19</t>
  </si>
  <si>
    <t>Kalpana Gharti Chhetri</t>
  </si>
  <si>
    <t>Aida Auza</t>
  </si>
  <si>
    <t>773-517-4638</t>
  </si>
  <si>
    <t>Reminder Suyash regarding Monthly &amp; Quarterly Conferences</t>
  </si>
  <si>
    <t>137</t>
  </si>
  <si>
    <t>David Ethan Geronimo</t>
  </si>
  <si>
    <t>312-340-1895</t>
  </si>
  <si>
    <t>None</t>
  </si>
  <si>
    <t>Onboarding / Training</t>
  </si>
  <si>
    <t>Belle</t>
  </si>
  <si>
    <t>Assigned Pre-Service Training</t>
  </si>
  <si>
    <t>138</t>
  </si>
  <si>
    <t>Rogelio Jr. Baclaan Uy</t>
  </si>
  <si>
    <t>(312) 834-8244</t>
  </si>
  <si>
    <t xml:space="preserve"> Follow up on Maeda availability, send her CCU name. Check to see if they received a call</t>
  </si>
  <si>
    <t>20</t>
  </si>
  <si>
    <t>Corazon Diaz (looking service for her husband)</t>
  </si>
  <si>
    <t>Hercules Auza</t>
  </si>
  <si>
    <t>Lorna Pontiveros reffered, HCA Will call us for referral. contact 773-733-9940</t>
  </si>
  <si>
    <t>Ma Luisa Santiago Calicoy</t>
  </si>
  <si>
    <t>1 224-392-6286</t>
  </si>
  <si>
    <t>Lilia Macasero</t>
  </si>
  <si>
    <t>Lorna Pontiveros reffered contact 708-655-9289</t>
  </si>
  <si>
    <t>Paperwork In Progress</t>
  </si>
  <si>
    <t>Schedule Onboarding</t>
  </si>
  <si>
    <t>Check to see if they received a call</t>
  </si>
  <si>
    <t>Josephine Chaparro</t>
  </si>
  <si>
    <t>773-329-7095</t>
  </si>
  <si>
    <t>Jackie</t>
  </si>
  <si>
    <t>Random Call from Client, already referral is sent waiying for call from CCU contact  815-757-5830. She has a Caregiver already. We can hire him.</t>
  </si>
  <si>
    <t>Call Ankur Sharma Regarding his Parents going on vacation</t>
  </si>
  <si>
    <t>Check to see if they received a call, Binay Spoke with client, She hasn't received any calls from CCU. She will folloew up with CCU.</t>
  </si>
  <si>
    <t>22</t>
  </si>
  <si>
    <t>Moises Panganiban</t>
  </si>
  <si>
    <t>312-687-3484</t>
  </si>
  <si>
    <t>Wife Myrna will be HCA. Check to see if they received a call</t>
  </si>
  <si>
    <t>23</t>
  </si>
  <si>
    <t>Rogelio Uy</t>
  </si>
  <si>
    <t>773-936-9271</t>
  </si>
  <si>
    <t>24</t>
  </si>
  <si>
    <t>Virgilia Uy</t>
  </si>
  <si>
    <t>25</t>
  </si>
  <si>
    <t>Melinda Kaposztas</t>
  </si>
  <si>
    <t>773-600-9389</t>
  </si>
  <si>
    <t>26</t>
  </si>
  <si>
    <t>Aaron Cole</t>
  </si>
  <si>
    <t>773-370-2143</t>
  </si>
  <si>
    <t>CCSI</t>
  </si>
  <si>
    <t>27</t>
  </si>
  <si>
    <t>Susan Peboko</t>
  </si>
  <si>
    <t>5301 W Foster</t>
  </si>
  <si>
    <t>Interested</t>
  </si>
  <si>
    <t>Vivian referred</t>
  </si>
  <si>
    <t>28</t>
  </si>
  <si>
    <t>312-961-1390</t>
  </si>
  <si>
    <t>Meridian</t>
  </si>
  <si>
    <t>217-806-3782</t>
  </si>
  <si>
    <t>224-392-6286</t>
  </si>
  <si>
    <t>31</t>
  </si>
  <si>
    <t>Melodia Yanong</t>
  </si>
  <si>
    <t>773-656-2333</t>
  </si>
  <si>
    <t>32</t>
  </si>
  <si>
    <t>Purita Pacatang</t>
  </si>
  <si>
    <t>312-678-3187</t>
  </si>
  <si>
    <t>John Givenco</t>
  </si>
  <si>
    <t>847-401-9393</t>
  </si>
  <si>
    <t>schaumburg</t>
  </si>
  <si>
    <t>Wife Dawn Givenco Called, Binay Sent referral form.</t>
  </si>
  <si>
    <t>Jean Katsoulis</t>
  </si>
  <si>
    <t>847-903-3806</t>
  </si>
  <si>
    <t>Son Nick Katsoulis is the main contact</t>
  </si>
  <si>
    <t>Lok Nath devkota</t>
  </si>
  <si>
    <t>773-398-1349</t>
  </si>
  <si>
    <t>36</t>
  </si>
  <si>
    <t>Kamala Devkota</t>
  </si>
  <si>
    <t>Email</t>
  </si>
  <si>
    <t>Paperwork / ID</t>
  </si>
  <si>
    <t>Jonet stampp</t>
  </si>
  <si>
    <t>jonetstampp69@gmail.com</t>
  </si>
  <si>
    <t>1-3 Years</t>
  </si>
  <si>
    <t>Applied</t>
  </si>
  <si>
    <t>South Side Chicago</t>
  </si>
  <si>
    <t>Myrna Panganiban</t>
  </si>
  <si>
    <t>312-483-5951</t>
  </si>
  <si>
    <t>Pending</t>
  </si>
  <si>
    <t>Wife will be HCA. Follow up on job application.</t>
  </si>
  <si>
    <t>Ricketa Davis</t>
  </si>
  <si>
    <t>7734147583</t>
  </si>
  <si>
    <t>ricketad4@gmail.com</t>
  </si>
  <si>
    <t>60615</t>
  </si>
  <si>
    <t>South Side Chicago, north Side Chicago</t>
  </si>
  <si>
    <t>Kate McDuffie</t>
  </si>
  <si>
    <t>8134546055</t>
  </si>
  <si>
    <t>katemcduffie1@gmail.com</t>
  </si>
  <si>
    <t>60640</t>
  </si>
  <si>
    <t>No Experience</t>
  </si>
  <si>
    <t>North Side Chicago | North Side Chicago</t>
  </si>
  <si>
    <t>Siti ahdego</t>
  </si>
  <si>
    <t>3126789874</t>
  </si>
  <si>
    <t>sitiyhdego@gmail.com</t>
  </si>
  <si>
    <t>North Side Chicago, North &amp; Northwest Suburbs</t>
  </si>
  <si>
    <t>Stephanie Fitz</t>
  </si>
  <si>
    <t>7739968080</t>
  </si>
  <si>
    <t>fitz_stephanie@yahoo.com</t>
  </si>
  <si>
    <t>60625</t>
  </si>
  <si>
    <t>North &amp; Northwest Suburbs</t>
  </si>
  <si>
    <t>Elfnesh Nigani</t>
  </si>
  <si>
    <t>7734303174</t>
  </si>
  <si>
    <t>whailu1995@yahoo.com</t>
  </si>
  <si>
    <t>60645</t>
  </si>
  <si>
    <t>North Side Chicago</t>
  </si>
  <si>
    <t>EMyra Glenn</t>
  </si>
  <si>
    <t>3124047741</t>
  </si>
  <si>
    <t>myrababy06@gmail.com</t>
  </si>
  <si>
    <t>60619</t>
  </si>
  <si>
    <t>South Side Chicago, North Side Chicago , West Side Chicago</t>
  </si>
  <si>
    <t>Fidele Ruhumuriza</t>
  </si>
  <si>
    <t>7734952560</t>
  </si>
  <si>
    <t>eric_gnrl@yahoo.fr</t>
  </si>
  <si>
    <t>Janice Streeter</t>
  </si>
  <si>
    <t>8723635232</t>
  </si>
  <si>
    <t>janicestreeter289@gmail.com</t>
  </si>
  <si>
    <t>60617</t>
  </si>
  <si>
    <t>South Side Chicago, North Side Chicago , West Side Chicago | South Side Chicago, North Side Chicago , West Side Chicago</t>
  </si>
  <si>
    <t>Precious Akinrinmade</t>
  </si>
  <si>
    <t>3124451552</t>
  </si>
  <si>
    <t>preciousfunmi20@gmail.com</t>
  </si>
  <si>
    <t>60649</t>
  </si>
  <si>
    <t>Alexis Walker</t>
  </si>
  <si>
    <t>31235818691</t>
  </si>
  <si>
    <t>akwalkbq2020@gmail.com</t>
  </si>
  <si>
    <t>Shamya johnson</t>
  </si>
  <si>
    <t>8722270795</t>
  </si>
  <si>
    <t>shamyaj41@gmail.com</t>
  </si>
  <si>
    <t>60644</t>
  </si>
  <si>
    <t>West Side Chicago, South Side Chicago</t>
  </si>
  <si>
    <t>Phyllis M Coffell</t>
  </si>
  <si>
    <t>7342764644</t>
  </si>
  <si>
    <t>pmcoffell@gmail.com</t>
  </si>
  <si>
    <t>60008</t>
  </si>
  <si>
    <t>Teannda</t>
  </si>
  <si>
    <t>7733088011</t>
  </si>
  <si>
    <t>lockettteannd@gmail.com</t>
  </si>
  <si>
    <t>919 N Harding Ave Apt 2rr # 2rr</t>
  </si>
  <si>
    <t>West Side Chicago, North Side Chicago</t>
  </si>
  <si>
    <t>Sarah A Berry</t>
  </si>
  <si>
    <t>7083781650</t>
  </si>
  <si>
    <t>sberryprays@hotmail.com</t>
  </si>
  <si>
    <t>60304</t>
  </si>
  <si>
    <t>West Side Chicago, West Suburbs, North Side Chicago</t>
  </si>
  <si>
    <t>Shari Lopez</t>
  </si>
  <si>
    <t>7734312362</t>
  </si>
  <si>
    <t>shariclopez@gmail.com</t>
  </si>
  <si>
    <t>1335 W GARFIELD BLVD</t>
  </si>
  <si>
    <t>South Side Chicago, South Suburbs</t>
  </si>
  <si>
    <t>Anya Russell</t>
  </si>
  <si>
    <t>3129782993</t>
  </si>
  <si>
    <t>anyarussell1008@gmail.com</t>
  </si>
  <si>
    <t>60642</t>
  </si>
  <si>
    <t>Miriam Martinez</t>
  </si>
  <si>
    <t>2242816776</t>
  </si>
  <si>
    <t>martinez.mimi34@gmail.com</t>
  </si>
  <si>
    <t>60169</t>
  </si>
  <si>
    <t>Donna L. Grant</t>
  </si>
  <si>
    <t>7733047649</t>
  </si>
  <si>
    <t>donnalynng50@yahoo.com</t>
  </si>
  <si>
    <t>60618</t>
  </si>
  <si>
    <t>More Than 6 Years</t>
  </si>
  <si>
    <t>HURREAN</t>
  </si>
  <si>
    <t>7736844953</t>
  </si>
  <si>
    <t>whurrean@yahoo.com</t>
  </si>
  <si>
    <t>4247 N BROADWAY</t>
  </si>
  <si>
    <t>Marisa I. Munoz</t>
  </si>
  <si>
    <t>7087439402</t>
  </si>
  <si>
    <t>mjm06092012@yahoo.com</t>
  </si>
  <si>
    <t>600 Wisconsin Ave</t>
  </si>
  <si>
    <t>West Suburbs, North &amp; Northwest Suburbs</t>
  </si>
  <si>
    <t>Brenda Farley</t>
  </si>
  <si>
    <t>3122211540</t>
  </si>
  <si>
    <t>brenda.farley311@gmail.com</t>
  </si>
  <si>
    <t>60653</t>
  </si>
  <si>
    <t>South Side Chicago, West Side Chicago, North Side Chicago</t>
  </si>
  <si>
    <t>Daisy Argueta</t>
  </si>
  <si>
    <t>7732008868</t>
  </si>
  <si>
    <t>daisyargueta88@gmail.com</t>
  </si>
  <si>
    <t>60630</t>
  </si>
  <si>
    <t>North Side Chicago, West Side Chicago, North &amp; Northwest Suburbs</t>
  </si>
  <si>
    <t>Julissa Stoutmire</t>
  </si>
  <si>
    <t>7739523779</t>
  </si>
  <si>
    <t>stoutmirejulissa2@gmail.com</t>
  </si>
  <si>
    <t>60651</t>
  </si>
  <si>
    <t>Devika Maheswori</t>
  </si>
  <si>
    <t>312-296-4582</t>
  </si>
  <si>
    <t>North Side Chicago,</t>
  </si>
  <si>
    <t>Marianne Vaughn</t>
  </si>
  <si>
    <t>4143922322</t>
  </si>
  <si>
    <t>vaughnmarianne64@gmail.com</t>
  </si>
  <si>
    <t>60123</t>
  </si>
  <si>
    <t>North Side Chicago, West Suburbs</t>
  </si>
  <si>
    <t>Hetal Patel</t>
  </si>
  <si>
    <t>8723307328</t>
  </si>
  <si>
    <t>hetalpatel110486@gmail.com</t>
  </si>
  <si>
    <t>West Side Chicago</t>
  </si>
  <si>
    <t>Shirali Chauhan</t>
  </si>
  <si>
    <t>3126844364</t>
  </si>
  <si>
    <t>shiralichauhan34@gmail.com</t>
  </si>
  <si>
    <t>Mina Safyari</t>
  </si>
  <si>
    <t>8728105721</t>
  </si>
  <si>
    <t>m.safyari888@gmail.com</t>
  </si>
  <si>
    <t>60660</t>
  </si>
  <si>
    <t>Temitope Bolatito Ashiru</t>
  </si>
  <si>
    <t>7732267089</t>
  </si>
  <si>
    <t>temitopeashiru71@gmail.com</t>
  </si>
  <si>
    <t>60202</t>
  </si>
  <si>
    <t>Telma osuoji</t>
  </si>
  <si>
    <t>8723556565</t>
  </si>
  <si>
    <t>osuojitelma@gmail.com</t>
  </si>
  <si>
    <t>60626</t>
  </si>
  <si>
    <t>Aishat Lawal</t>
  </si>
  <si>
    <t>3127204497</t>
  </si>
  <si>
    <t>aishatlawalt02@gmail.com</t>
  </si>
  <si>
    <t>South Side Chicago, South Suburbs (CNA)</t>
  </si>
  <si>
    <t>Mariia Lurikova</t>
  </si>
  <si>
    <t>312-919-1096</t>
  </si>
  <si>
    <t>gelendzhik09@gmail.com</t>
  </si>
  <si>
    <t>6002 N winthrop</t>
  </si>
  <si>
    <t>North Side, North &amp; Northwest Subsurbs</t>
  </si>
  <si>
    <t>Ambreen Asif</t>
  </si>
  <si>
    <t>13312698418</t>
  </si>
  <si>
    <t>ambasif77@gmail.com</t>
  </si>
  <si>
    <t>60133</t>
  </si>
  <si>
    <t>Amneh</t>
  </si>
  <si>
    <t>7083551342</t>
  </si>
  <si>
    <t>amnehhassan@icloud.com</t>
  </si>
  <si>
    <t>60491</t>
  </si>
  <si>
    <t>Punam</t>
  </si>
  <si>
    <t>9136265067</t>
  </si>
  <si>
    <t>punams270@gmail.com</t>
  </si>
  <si>
    <t>6124 n talman ave Chicago il 60062</t>
  </si>
  <si>
    <t>Cynthia Kiehnau</t>
  </si>
  <si>
    <t>5713836626</t>
  </si>
  <si>
    <t>cakiehnau@gmail.com</t>
  </si>
  <si>
    <t>Peculiar Ayankunle</t>
  </si>
  <si>
    <t>8622376542</t>
  </si>
  <si>
    <t>payankun1107@gmail.com</t>
  </si>
  <si>
    <t>60657</t>
  </si>
  <si>
    <t>Temitope</t>
  </si>
  <si>
    <t>7084399210</t>
  </si>
  <si>
    <t>bisiriyutemitope71@gmail.com</t>
  </si>
  <si>
    <t>2003 w Arthur</t>
  </si>
  <si>
    <t>Jennifer Harris</t>
  </si>
  <si>
    <t>2244139207</t>
  </si>
  <si>
    <t>jenniferbharris0603@gmail.com</t>
  </si>
  <si>
    <t>60085</t>
  </si>
  <si>
    <t>Sadaf</t>
  </si>
  <si>
    <t>8476024276</t>
  </si>
  <si>
    <t>comsadaf@yahoo.com</t>
  </si>
  <si>
    <t>60061</t>
  </si>
  <si>
    <t>Stephanie</t>
  </si>
  <si>
    <t>7736414021</t>
  </si>
  <si>
    <t>smeans543@gmail.com</t>
  </si>
  <si>
    <t>60637</t>
  </si>
  <si>
    <t>South Side Chicago, Southwest Suburbs, North Side Chicago</t>
  </si>
  <si>
    <t>Hira Kashif</t>
  </si>
  <si>
    <t>7733136068</t>
  </si>
  <si>
    <t>hira.kashif.mendha@gmail.com</t>
  </si>
  <si>
    <t>6437 N ALBANY AVE</t>
  </si>
  <si>
    <t>4-6 Years</t>
  </si>
  <si>
    <t>North Side Chicago, Morning</t>
  </si>
  <si>
    <t>Marliqua Ousley</t>
  </si>
  <si>
    <t>3125219578</t>
  </si>
  <si>
    <t>brownlayla592@gmail.com</t>
  </si>
  <si>
    <t>60620</t>
  </si>
  <si>
    <t>Martha Lorena</t>
  </si>
  <si>
    <t>7547361534</t>
  </si>
  <si>
    <t>lorenacastrob@hotmail.com</t>
  </si>
  <si>
    <t>North &amp; Northwest Suburbs, Morning</t>
  </si>
  <si>
    <t>Charita</t>
  </si>
  <si>
    <t>3127147379</t>
  </si>
  <si>
    <t>escabartecharita@gmail.com</t>
  </si>
  <si>
    <t>737 Garfield St Apt 1</t>
  </si>
  <si>
    <t>West Suburbs, Southwest Suburbs</t>
  </si>
  <si>
    <t>Gulnare Ocguder</t>
  </si>
  <si>
    <t>6059408565</t>
  </si>
  <si>
    <t>nmocguder@gmail.com</t>
  </si>
  <si>
    <t>60068</t>
  </si>
  <si>
    <t>Miata</t>
  </si>
  <si>
    <t>7735121346</t>
  </si>
  <si>
    <t>miataab@icloud.com</t>
  </si>
  <si>
    <t>60629</t>
  </si>
  <si>
    <t>Prachi</t>
  </si>
  <si>
    <t>2243252368</t>
  </si>
  <si>
    <t>pdshah2023@gmail.com</t>
  </si>
  <si>
    <t>60563</t>
  </si>
  <si>
    <t>Eva</t>
  </si>
  <si>
    <t>7086982456</t>
  </si>
  <si>
    <t>evajp69@gmail.com</t>
  </si>
  <si>
    <t>60153</t>
  </si>
  <si>
    <t>North Side Chicago, South Side Chicago, West Suburbs</t>
  </si>
  <si>
    <t>Nicole</t>
  </si>
  <si>
    <t>3124789744</t>
  </si>
  <si>
    <t>nli520888@gmail.com</t>
  </si>
  <si>
    <t>60607</t>
  </si>
  <si>
    <t>Monique Johnson</t>
  </si>
  <si>
    <t>7733357950</t>
  </si>
  <si>
    <t>mikyabobbitt@gmail.com</t>
  </si>
  <si>
    <t>1425 N Mayfield Ave</t>
  </si>
  <si>
    <t>West Side Chicago, Evening | West Side Chicago</t>
  </si>
  <si>
    <t>Zahida</t>
  </si>
  <si>
    <t>630-506-2469</t>
  </si>
  <si>
    <t>Adress- Skokie</t>
  </si>
  <si>
    <t>60076</t>
  </si>
  <si>
    <t>North Side of Chicago</t>
  </si>
  <si>
    <t>Suzanne Keck</t>
  </si>
  <si>
    <t>3195510927</t>
  </si>
  <si>
    <t>skeck424@live.com</t>
  </si>
  <si>
    <t>60110</t>
  </si>
  <si>
    <t>North &amp; Northwest Suburbs, West Suburbs</t>
  </si>
  <si>
    <t>Gabriela Sanchez</t>
  </si>
  <si>
    <t>2242769496</t>
  </si>
  <si>
    <t>gby_85@sbcglobal.net</t>
  </si>
  <si>
    <t>60120</t>
  </si>
  <si>
    <t>West Suburbs, North &amp; Northwest Suburbs, Morning</t>
  </si>
  <si>
    <t>Wanda Askew</t>
  </si>
  <si>
    <t>7733974034</t>
  </si>
  <si>
    <t>wanda.askq.b.graceful@gmail.com</t>
  </si>
  <si>
    <t>South Side Chicago, Morning</t>
  </si>
  <si>
    <t>Idalia Elena Vargas</t>
  </si>
  <si>
    <t>2242024999</t>
  </si>
  <si>
    <t>idaliavargas2010@gmail.com</t>
  </si>
  <si>
    <t>Kehinde</t>
  </si>
  <si>
    <t>8729854527</t>
  </si>
  <si>
    <t>oyeniyikenny789@gmail.com</t>
  </si>
  <si>
    <t>North &amp; Northwest Suburbs, Evenings</t>
  </si>
  <si>
    <t>Folashade Hassan</t>
  </si>
  <si>
    <t>3124682180</t>
  </si>
  <si>
    <t>faileru@yahoo.com</t>
  </si>
  <si>
    <t>South Side Chicago, North Side Chicago</t>
  </si>
  <si>
    <t>Janiellie</t>
  </si>
  <si>
    <t>7734693668</t>
  </si>
  <si>
    <t>rjaniellie@gmail.com</t>
  </si>
  <si>
    <t>60634</t>
  </si>
  <si>
    <t>North Side Chicago, Mornings</t>
  </si>
  <si>
    <t>Aniah Ford</t>
  </si>
  <si>
    <t>8722249999</t>
  </si>
  <si>
    <t>aniahford14@gmail.com</t>
  </si>
  <si>
    <t>Kaziyah Neal</t>
  </si>
  <si>
    <t>3312542962</t>
  </si>
  <si>
    <t>nealkaziyah@gmail.com</t>
  </si>
  <si>
    <t>West Suburbs, North Side Chicago, North &amp; Northwest Suburbs</t>
  </si>
  <si>
    <t>Natira Walker</t>
  </si>
  <si>
    <t>3125991998</t>
  </si>
  <si>
    <t>natira8984@gmail.com</t>
  </si>
  <si>
    <t>60622</t>
  </si>
  <si>
    <t>West Suburbs, West Side Chicago</t>
  </si>
  <si>
    <t>ChaPhill Robinson</t>
  </si>
  <si>
    <t>(773) 808-9291</t>
  </si>
  <si>
    <t>chaphill_robinson@yahoo.com</t>
  </si>
  <si>
    <t>I will have open availability starting the beginning of June.</t>
  </si>
  <si>
    <t>Christabel Nkandu</t>
  </si>
  <si>
    <t>6303800136</t>
  </si>
  <si>
    <t>nkanduchristable@gmail.com</t>
  </si>
  <si>
    <t>60195</t>
  </si>
  <si>
    <t>Southwest Suburbs - Evenings</t>
  </si>
  <si>
    <t>Jimmie Burnett</t>
  </si>
  <si>
    <t>7737427399</t>
  </si>
  <si>
    <t>burnett.jimmie@yahoo.com</t>
  </si>
  <si>
    <t>60104</t>
  </si>
  <si>
    <t>West Suburbs, Evennings</t>
  </si>
  <si>
    <t>Jonathan motta</t>
  </si>
  <si>
    <t>3127300155</t>
  </si>
  <si>
    <t>jonathanmotta79@yahoo.com</t>
  </si>
  <si>
    <t>Crystal Moore</t>
  </si>
  <si>
    <t>773410-1400</t>
  </si>
  <si>
    <t>cmoore18882017@outlook.com</t>
  </si>
  <si>
    <t>Denean Moore</t>
  </si>
  <si>
    <t>7739795233</t>
  </si>
  <si>
    <t>Gia Rivera</t>
  </si>
  <si>
    <t>7735019619</t>
  </si>
  <si>
    <t>rivera.gia.79@gmail.com</t>
  </si>
  <si>
    <t>60707</t>
  </si>
  <si>
    <t>Nikita Watkins</t>
  </si>
  <si>
    <t>7733861053</t>
  </si>
  <si>
    <t>kitawatkins01@icloud.com</t>
  </si>
  <si>
    <t>60652</t>
  </si>
  <si>
    <t>Renita L Mayfield</t>
  </si>
  <si>
    <t>7737072891</t>
  </si>
  <si>
    <t>sreneenee@yahoo.com</t>
  </si>
  <si>
    <t>60636</t>
  </si>
  <si>
    <t>Southwest Suburbs - Evenings | South Side Chicago</t>
  </si>
  <si>
    <t>Malayhia Parker</t>
  </si>
  <si>
    <t>8722185175</t>
  </si>
  <si>
    <t>malayhia6@gmail.com</t>
  </si>
  <si>
    <t>60624</t>
  </si>
  <si>
    <t>Amber Bottoms</t>
  </si>
  <si>
    <t>7733829763</t>
  </si>
  <si>
    <t>amkbottoms@gmail.com</t>
  </si>
  <si>
    <t>West Side Chicago | West Side Chicago, 20 years of experience as a CNA and Medical Assistant</t>
  </si>
  <si>
    <t>Garyn Richard</t>
  </si>
  <si>
    <t>7739496134</t>
  </si>
  <si>
    <t>garynrichardnlcp@gmail.com</t>
  </si>
  <si>
    <t>West Side Chicago,North Side Chicago</t>
  </si>
  <si>
    <t>Lenia Smith</t>
  </si>
  <si>
    <t>7738775959</t>
  </si>
  <si>
    <t>leniasmith018@gmail.com</t>
  </si>
  <si>
    <t>Marina Canelo</t>
  </si>
  <si>
    <t>7735740883</t>
  </si>
  <si>
    <t>marinacanelo14@yahoo.com</t>
  </si>
  <si>
    <t>60632</t>
  </si>
  <si>
    <t>Gloria Apanco</t>
  </si>
  <si>
    <t>(773) 457-0187</t>
  </si>
  <si>
    <t>gloriaapanco@gmail.com</t>
  </si>
  <si>
    <t>60160</t>
  </si>
  <si>
    <t>North &amp; Northwest Suburbs (Evening)</t>
  </si>
  <si>
    <t>Kodjo</t>
  </si>
  <si>
    <t>2404410904</t>
  </si>
  <si>
    <t>Benkitegi@yahoo.fr</t>
  </si>
  <si>
    <t>Latrice Foster</t>
  </si>
  <si>
    <t>7734011936</t>
  </si>
  <si>
    <t>latricefoster21@yahoo.com</t>
  </si>
  <si>
    <t>60628</t>
  </si>
  <si>
    <t>Tatiana</t>
  </si>
  <si>
    <t>773-664-8098</t>
  </si>
  <si>
    <t>tatipatt87.tp@gmail.com</t>
  </si>
  <si>
    <t>West Suburbs,North &amp; Northwest Suburbs (Overnight)</t>
  </si>
  <si>
    <t>Brenda Reed</t>
  </si>
  <si>
    <t>(313) 918-8992</t>
  </si>
  <si>
    <t>mz.breed145@gmail.com</t>
  </si>
  <si>
    <t>60074</t>
  </si>
  <si>
    <t>Debra croom</t>
  </si>
  <si>
    <t>224-966-8629</t>
  </si>
  <si>
    <t>debracroom9@gmail.com</t>
  </si>
  <si>
    <t>North &amp; Northwest Suburbs (Afternoon)</t>
  </si>
  <si>
    <t>Amariyah</t>
  </si>
  <si>
    <t>2242903815</t>
  </si>
  <si>
    <t>amariyah27@gmail.com</t>
  </si>
  <si>
    <t>60115</t>
  </si>
  <si>
    <t>I am located in the South Chicago area near Hyde Park. Working to get a car</t>
  </si>
  <si>
    <t>Gabrielle Morrison</t>
  </si>
  <si>
    <t>7736294984</t>
  </si>
  <si>
    <t>gabriellesmorrison@gmail.com</t>
  </si>
  <si>
    <t>Interested in in-office admin work as well as full or part time caregiving. Working hours can change</t>
  </si>
  <si>
    <t>LaParis Jones</t>
  </si>
  <si>
    <t>8722482596</t>
  </si>
  <si>
    <t>laparis89@gmail.com</t>
  </si>
  <si>
    <t>West Side Chicago | I am a nurse looking to supplement my income with 10+ years of healthcare experience. She can work anywhere</t>
  </si>
  <si>
    <t>Lectricia Echols</t>
  </si>
  <si>
    <t>8159955786</t>
  </si>
  <si>
    <t>lechols0307@gmail.com</t>
  </si>
  <si>
    <t>60440</t>
  </si>
  <si>
    <t>Kinsdale, Riverbrook, Berage</t>
  </si>
  <si>
    <t>Ngochan doan</t>
  </si>
  <si>
    <t>6303363232</t>
  </si>
  <si>
    <t>doanngochan33@gmail.com</t>
  </si>
  <si>
    <t>60139</t>
  </si>
  <si>
    <t>Raymond John Sotelo</t>
  </si>
  <si>
    <t>3127313984</t>
  </si>
  <si>
    <t>johnraymondsotelo@gmail.com</t>
  </si>
  <si>
    <t>60077</t>
  </si>
  <si>
    <t>Shataria rush</t>
  </si>
  <si>
    <t>7737080719</t>
  </si>
  <si>
    <t>shatariar@yahoo.com</t>
  </si>
  <si>
    <t>60402</t>
  </si>
  <si>
    <t>West Side Chicago,North Side Chicago - near her Zip code</t>
  </si>
  <si>
    <t>jacqueline jackson</t>
  </si>
  <si>
    <t>8152217287</t>
  </si>
  <si>
    <t>jackieerose25@gmail.com</t>
  </si>
  <si>
    <t>60543</t>
  </si>
  <si>
    <t>West Suburbs,Other Counties</t>
  </si>
  <si>
    <t>Emilia</t>
  </si>
  <si>
    <t>7734062553</t>
  </si>
  <si>
    <t>emiliakatameh96@gmail.com</t>
  </si>
  <si>
    <t>Alexis Hudson</t>
  </si>
  <si>
    <t>773-8059347</t>
  </si>
  <si>
    <t>alexishudson75@gmail.com</t>
  </si>
  <si>
    <t>North Side Chicago,West Side Chicago, Cannot Drive</t>
  </si>
  <si>
    <t>Jajvan</t>
  </si>
  <si>
    <t>8723000230</t>
  </si>
  <si>
    <t>jajvan03@gmail.com</t>
  </si>
  <si>
    <t>60627</t>
  </si>
  <si>
    <t>Jverson Jenkins</t>
  </si>
  <si>
    <t>3093338014</t>
  </si>
  <si>
    <t>jverson.jenkins27@gmail.com</t>
  </si>
  <si>
    <t>60827</t>
  </si>
  <si>
    <t>Mariyah Williams</t>
  </si>
  <si>
    <t>7736366735</t>
  </si>
  <si>
    <t>mariyahwilliams530@gmail.com</t>
  </si>
  <si>
    <t>West Side Chicago,South Side Chicago,North Side Chicago</t>
  </si>
  <si>
    <t>Nevada Walker</t>
  </si>
  <si>
    <t>773-34031801</t>
  </si>
  <si>
    <t>Tyreseswalket484@gmail.com</t>
  </si>
  <si>
    <t>North Side Chicago,South Side Chicago,Southwest Suburbs,North &amp; Northwest Suburbs</t>
  </si>
  <si>
    <t>Kanygul Aidarova</t>
  </si>
  <si>
    <t>224-833-7065</t>
  </si>
  <si>
    <t>60656</t>
  </si>
  <si>
    <t>Interested and Russian Speaking talk via text. Great for Russian Client.</t>
  </si>
  <si>
    <t>Kanygal Aldarova</t>
  </si>
  <si>
    <t>kanygalaldarova02gmail.com</t>
  </si>
  <si>
    <t>8639 W Berwyn Ave</t>
  </si>
  <si>
    <t>Sanna Castillo</t>
  </si>
  <si>
    <t>2192492653</t>
  </si>
  <si>
    <t>kekeclay96@gmail.com</t>
  </si>
  <si>
    <t>North, South Chicago, South Suburbs</t>
  </si>
  <si>
    <t>Jerome Gardner</t>
  </si>
  <si>
    <t>7733735455</t>
  </si>
  <si>
    <t>jeromegardner773@gmail.com</t>
  </si>
  <si>
    <t>Maria Lurikova</t>
  </si>
  <si>
    <t>3129191096</t>
  </si>
  <si>
    <t>North Chicago, Evening</t>
  </si>
  <si>
    <t>Raymond Amegatcher</t>
  </si>
  <si>
    <t>8723109158</t>
  </si>
  <si>
    <t>aflosho1999@gmail.com</t>
  </si>
  <si>
    <t>Akia Taylor</t>
  </si>
  <si>
    <t>872-713-3398</t>
  </si>
  <si>
    <t>Follow up Form Sent and Received</t>
  </si>
  <si>
    <t>Murphy Blanch</t>
  </si>
  <si>
    <t>224-822-3472</t>
  </si>
  <si>
    <t>Nancy</t>
  </si>
  <si>
    <t>773-397-6944</t>
  </si>
  <si>
    <t>Follow up Form Sent</t>
  </si>
  <si>
    <t>Remond</t>
  </si>
  <si>
    <t>872-310-9158</t>
  </si>
  <si>
    <t>Dajanae Tarbor</t>
  </si>
  <si>
    <t>773-220-8499</t>
  </si>
  <si>
    <t>Next Week she is available to come to office</t>
  </si>
  <si>
    <t>Martin Murphy</t>
  </si>
  <si>
    <t>773-230-1204</t>
  </si>
  <si>
    <t>Will be back from vacation next Monday</t>
  </si>
  <si>
    <t>Aisha Ricks</t>
  </si>
  <si>
    <t>773-701-0446</t>
  </si>
  <si>
    <t>60643</t>
  </si>
  <si>
    <t>Alisha Parikh</t>
  </si>
  <si>
    <t>848-338-0690</t>
  </si>
  <si>
    <t>Gift Iwuoha</t>
  </si>
  <si>
    <t>312-536-7833</t>
  </si>
  <si>
    <t>5662 N Ridge Ave Apt 3A</t>
  </si>
  <si>
    <t>Tmelda L Cabagnot</t>
  </si>
  <si>
    <t>773-433-0043</t>
  </si>
  <si>
    <t>Gergana Kuneva</t>
  </si>
  <si>
    <t>2243132745</t>
  </si>
  <si>
    <t>gergana3387@abv.bg</t>
  </si>
  <si>
    <t>60016</t>
  </si>
  <si>
    <t>County Care</t>
  </si>
  <si>
    <t>Kenshay Collins</t>
  </si>
  <si>
    <t>872-357-2822</t>
  </si>
  <si>
    <t>kenshaycollins22@gmail.com</t>
  </si>
  <si>
    <t>Aida and Hercules were sent to CCU. Follow up on Maeda availability and send her CCU name.</t>
  </si>
  <si>
    <t>Sent to CCU with Aida. Verify next CCU step.</t>
  </si>
  <si>
    <t>PH: 224-488-0926</t>
  </si>
  <si>
    <t>Deonisa referred 10/08/26 Assessment</t>
  </si>
  <si>
    <t>Contact: 773-744-1079</t>
  </si>
  <si>
    <t>Care Giver Daisy 847-852-6113</t>
  </si>
  <si>
    <t>Through Vivienne - Lubin Paiso (HCA)</t>
  </si>
  <si>
    <t>Wife Myrna will be HCA.</t>
  </si>
  <si>
    <t>Nerissa Bomer</t>
  </si>
  <si>
    <t>HCA Melenie 224-469-6169</t>
  </si>
  <si>
    <t>Contact: 773-312-1917</t>
  </si>
  <si>
    <t>Leonida Dela Cruz 847-840-7388</t>
  </si>
  <si>
    <t>HCA: 224-522-2163 Menen</t>
  </si>
  <si>
    <t>HCA Alyssa 312-312-1900 Daughter</t>
  </si>
  <si>
    <t>Contact 773-960-8295</t>
  </si>
  <si>
    <t>Referral was being prepared. Verify if submitted.</t>
  </si>
  <si>
    <t>Referral was being prepared; voicemail left 9/14. Verify if submitted.</t>
  </si>
  <si>
    <t>Timothy Wallace</t>
  </si>
  <si>
    <t>Mukta Ben Merchant</t>
  </si>
  <si>
    <t>IDoA</t>
  </si>
  <si>
    <t>Nelly Mejorada</t>
  </si>
  <si>
    <t>773918-9233, 773-396-8737</t>
  </si>
  <si>
    <t>Pedrito</t>
  </si>
  <si>
    <t>Bharat Chaudhary</t>
  </si>
  <si>
    <t>60533</t>
  </si>
  <si>
    <t>Alma</t>
  </si>
  <si>
    <t>Kalpana Chaudhary 773-979-3962</t>
  </si>
  <si>
    <t>Cativa Lepuzanovic</t>
  </si>
  <si>
    <t>Arlington Heights</t>
  </si>
  <si>
    <t>Ankur sharma</t>
  </si>
  <si>
    <t>Need Follow Up</t>
  </si>
  <si>
    <t>Cazim Lepuzanovic</t>
  </si>
  <si>
    <t>Kondayoor Parukutty</t>
  </si>
  <si>
    <t>312-576-7721</t>
  </si>
  <si>
    <t>Sonam Mohindra</t>
  </si>
  <si>
    <t>Linda Puryear</t>
  </si>
  <si>
    <t>773-6031621 (puryearlinda1956@gmail.com)</t>
  </si>
  <si>
    <t>7739962518</t>
  </si>
  <si>
    <t>Assessment Scheduled 3/24/2026 10-3 pm</t>
  </si>
  <si>
    <t>Arnest Bhai Christain</t>
  </si>
  <si>
    <t>Vasanti- 224-363-2537</t>
  </si>
  <si>
    <t>Edelmira Portillo</t>
  </si>
  <si>
    <t>Madel</t>
  </si>
  <si>
    <t>Contact- 312-804-6232</t>
  </si>
  <si>
    <t>Alberto Morales</t>
  </si>
  <si>
    <t>Chicago / 60625</t>
  </si>
  <si>
    <t>773-410-7412</t>
  </si>
  <si>
    <t>Jatin Patel</t>
  </si>
  <si>
    <t>773-320-4610</t>
  </si>
  <si>
    <t>Elk Grove</t>
  </si>
  <si>
    <t>http://jatsun9360yahho.com/</t>
  </si>
  <si>
    <t>Michel Segard</t>
  </si>
  <si>
    <t>773-865-6224</t>
  </si>
  <si>
    <t>Mohammad Hasani</t>
  </si>
  <si>
    <t>312-763-1963 - Shabana Noori</t>
  </si>
  <si>
    <t>Jaihoon</t>
  </si>
  <si>
    <t>Mohammad Hashimi</t>
  </si>
  <si>
    <t>773-414-8909- Fardin (son)</t>
  </si>
  <si>
    <t>Assessment Scheduled 1/30/2026</t>
  </si>
  <si>
    <t>Mohsen Abbasifar</t>
  </si>
  <si>
    <t>312-647-5272</t>
  </si>
  <si>
    <t>Richard Anda</t>
  </si>
  <si>
    <t>Medecare</t>
  </si>
  <si>
    <t>Rosemarie Hoddick</t>
  </si>
  <si>
    <t>312-609-9581</t>
  </si>
  <si>
    <t>Referred by Violet</t>
  </si>
  <si>
    <t>Eva Miralles</t>
  </si>
  <si>
    <t>Prefers to be contacted Tuesday afternoon.</t>
  </si>
  <si>
    <t>Jose Acido</t>
  </si>
  <si>
    <t>847-877-9094</t>
  </si>
  <si>
    <t>Vangie</t>
  </si>
  <si>
    <t>Called and left voicemail.</t>
  </si>
  <si>
    <t>Nanette Acido</t>
  </si>
  <si>
    <t>New referral from Vangie.</t>
  </si>
  <si>
    <t>Niranjana's Parent</t>
  </si>
  <si>
    <t>708-986-3337</t>
  </si>
  <si>
    <t>Currently receives 24 hrs/week elsewhere. Will transfer once HCA is found.</t>
  </si>
  <si>
    <t>312-758-7308</t>
  </si>
  <si>
    <t>Potential client; HCA may be TP.</t>
  </si>
  <si>
    <t>904-377-2827</t>
  </si>
  <si>
    <t>708-289-6963</t>
  </si>
  <si>
    <t>Vangie will inform Shirley about Rasuna/Sewa.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</si>
</sst>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14">
    <font>
      <sz val="11"/>
      <color rgb="FF000000"/>
      <name val="Carlito"/>
      <scheme val="minor"/>
    </font>
    <font>
      <b/>
      <sz val="16"/>
      <color rgb="FFFFFFFF"/>
      <name val="Carlito"/>
    </font>
    <font>
      <sz val="11"/>
      <name val="Carlito"/>
    </font>
    <font>
      <b/>
      <sz val="11"/>
      <color rgb="FF7F6000"/>
      <name val="Carlito"/>
    </font>
    <font>
      <b/>
      <sz val="11"/>
      <color theme="1"/>
      <name val="Carlito"/>
    </font>
    <font>
      <b/>
      <sz val="11"/>
      <color rgb="FFFFFFFF"/>
      <name val="Carlito"/>
    </font>
    <font>
      <b/>
      <sz val="18"/>
      <color theme="1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b/>
      <u/>
      <sz val="17"/>
      <color rgb="FF0000FF"/>
      <name val="Carlito"/>
    </font>
    <font>
      <b/>
      <sz val="11"/>
      <color rgb="FF9C0006"/>
      <name val="Carlito"/>
    </font>
    <font>
      <u/>
      <sz val="11"/>
      <color theme="1"/>
      <name val="Carlito"/>
    </font>
    <font>
      <u/>
      <sz val="11"/>
      <color theme="1"/>
      <name val="Carlito"/>
    </font>
    <font>
      <u/>
      <sz val="11"/>
      <color rgb="FF0000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5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5" fillId="5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top"/>
    </xf>
    <xf numFmtId="0" fontId="8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vertical="center"/>
    </xf>
    <xf numFmtId="14" fontId="7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top"/>
    </xf>
    <xf numFmtId="14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7" borderId="0" xfId="0" applyFont="1" applyFill="1" applyAlignment="1">
      <alignment vertical="top"/>
    </xf>
    <xf numFmtId="49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4" borderId="1" xfId="0" applyFont="1" applyFill="1" applyBorder="1" applyAlignment="1">
      <alignment vertical="center"/>
    </xf>
    <xf numFmtId="0" fontId="10" fillId="6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61">
    <dxf>
      <fill>
        <patternFill patternType="solid">
          <fgColor rgb="FFF4CCCC"/>
          <bgColor rgb="FFF4CCCC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4CCCC"/>
          <bgColor rgb="FFF4CC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ACTIVE EMPLOYEES-style" pivot="0" count="4" xr9:uid="{00000000-0011-0000-FFFF-FFFF00000000}">
      <tableStyleElement type="wholeTable" size="0" dxfId="57"/>
      <tableStyleElement type="headerRow" dxfId="60"/>
      <tableStyleElement type="firstRowStripe" dxfId="59"/>
      <tableStyleElement type="secondRowStripe" dxfId="58"/>
    </tableStyle>
    <tableStyle name="DAILY FOLLOW-UP-style" pivot="0" count="4" xr9:uid="{00000000-0011-0000-FFFF-FFFF01000000}">
      <tableStyleElement type="wholeTable" size="0" dxfId="53"/>
      <tableStyleElement type="headerRow" dxfId="56"/>
      <tableStyleElement type="firstRowStripe" dxfId="55"/>
      <tableStyleElement type="secondRowStripe" dxfId="54"/>
    </tableStyle>
    <tableStyle name="CLIENT PIPELINE-style" pivot="0" count="4" xr9:uid="{00000000-0011-0000-FFFF-FFFF02000000}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READY TO WORK HCA-style" pivot="0" count="4" xr9:uid="{00000000-0011-0000-FFFF-FFFF03000000}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HCA APPLICANTS-style" pivot="0" count="4" xr9:uid="{00000000-0011-0000-FFFF-FFFF04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APPROVED CLIENTS-style" pivot="0" count="4" xr9:uid="{00000000-0011-0000-FFFF-FFFF05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Archive-style" pivot="0" count="4" xr9:uid="{00000000-0011-0000-FFFF-FFFF06000000}">
      <tableStyleElement type="wholeTable" size="0" dxfId="33"/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ilyFollowUpTable" displayName="DailyFollowUpTable" ref="A1:H828">
  <autoFilter ref="A1:H828" xr:uid="{00000000-0009-0000-0100-000002000000}">
    <filterColumn colId="6">
      <filters blank="1">
        <filter val="In Progress"/>
        <filter val="Open"/>
      </filters>
    </filterColumn>
  </autoFilter>
  <tableColumns count="8">
    <tableColumn id="1" xr3:uid="{00000000-0010-0000-0000-000001000000}" name="Date"/>
    <tableColumn id="2" xr3:uid="{00000000-0010-0000-0000-000002000000}" name="Type"/>
    <tableColumn id="3" xr3:uid="{00000000-0010-0000-0000-000003000000}" name="Name"/>
    <tableColumn id="4" xr3:uid="{00000000-0010-0000-0000-000004000000}" name="Action / Note"/>
    <tableColumn id="5" xr3:uid="{00000000-0010-0000-0000-000005000000}" name="Owner"/>
    <tableColumn id="6" xr3:uid="{00000000-0010-0000-0000-000006000000}" name="Due / Follow-Up"/>
    <tableColumn id="7" xr3:uid="{00000000-0010-0000-0000-000007000000}" name="Status"/>
    <tableColumn id="8" xr3:uid="{00000000-0010-0000-0000-000008000000}" name="Result / Follow-Up Note"/>
  </tableColumns>
  <tableStyleInfo name="DAILY FOLLOW-U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lientPipelineTable" displayName="ClientPipelineTable" ref="A1:S71">
  <autoFilter ref="A1:S71" xr:uid="{00000000-0009-0000-0100-000003000000}"/>
  <tableColumns count="19">
    <tableColumn id="1" xr3:uid="{00000000-0010-0000-0100-000001000000}" name="SN"/>
    <tableColumn id="2" xr3:uid="{00000000-0010-0000-0100-000002000000}" name="Client Name"/>
    <tableColumn id="3" xr3:uid="{00000000-0010-0000-0100-000003000000}" name="Phone / Main Contact"/>
    <tableColumn id="4" xr3:uid="{00000000-0010-0000-0100-000004000000}" name="City"/>
    <tableColumn id="5" xr3:uid="{00000000-0010-0000-0100-000005000000}" name="ZIP"/>
    <tableColumn id="6" xr3:uid="{00000000-0010-0000-0100-000006000000}" name="Insurance / MCO"/>
    <tableColumn id="7" xr3:uid="{00000000-0010-0000-0100-000007000000}" name="CCU"/>
    <tableColumn id="8" xr3:uid="{00000000-0010-0000-0100-000008000000}" name="Client Status"/>
    <tableColumn id="9" xr3:uid="{00000000-0010-0000-0100-000009000000}" name="Status Date"/>
    <tableColumn id="10" xr3:uid="{00000000-0010-0000-0100-00000A000000}" name="CCU Case Manager"/>
    <tableColumn id="11" xr3:uid="{00000000-0010-0000-0100-00000B000000}" name="CCU CM Phone"/>
    <tableColumn id="12" xr3:uid="{00000000-0010-0000-0100-00000C000000}" name="CCU CM Email"/>
    <tableColumn id="13" xr3:uid="{00000000-0010-0000-0100-00000D000000}" name="MCO Case Manager"/>
    <tableColumn id="14" xr3:uid="{00000000-0010-0000-0100-00000E000000}" name="MCO CM Phone"/>
    <tableColumn id="15" xr3:uid="{00000000-0010-0000-0100-00000F000000}" name="MCO CM Email"/>
    <tableColumn id="16" xr3:uid="{00000000-0010-0000-0100-000010000000}" name="Referred By"/>
    <tableColumn id="17" xr3:uid="{00000000-0010-0000-0100-000011000000}" name="Owner"/>
    <tableColumn id="18" xr3:uid="{00000000-0010-0000-0100-000012000000}" name="Next Follow-Up"/>
    <tableColumn id="19" xr3:uid="{00000000-0010-0000-0100-000013000000}" name="Pertinent Note"/>
  </tableColumns>
  <tableStyleInfo name="CLIENT PIPELIN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ActiveEmployeesTable" displayName="ActiveEmployeesTable" ref="A1:G80">
  <autoFilter ref="A1:G80" xr:uid="{00000000-0009-0000-0100-000001000000}"/>
  <tableColumns count="7">
    <tableColumn id="1" xr3:uid="{00000000-0010-0000-0200-000001000000}" name="Employee ID"/>
    <tableColumn id="2" xr3:uid="{00000000-0010-0000-0200-000002000000}" name="HCA Name"/>
    <tableColumn id="3" xr3:uid="{00000000-0010-0000-0200-000003000000}" name="Availability"/>
    <tableColumn id="4" xr3:uid="{00000000-0010-0000-0200-000004000000}" name="Employment Status"/>
    <tableColumn id="5" xr3:uid="{00000000-0010-0000-0200-000005000000}" name="TTP"/>
    <tableColumn id="6" xr3:uid="{00000000-0010-0000-0200-000006000000}" name="Owner"/>
    <tableColumn id="7" xr3:uid="{00000000-0010-0000-0200-000007000000}" name="Pertinent Note"/>
  </tableColumns>
  <tableStyleInfo name="ACTIVE EMPLOYE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adyHCATable" displayName="ReadyHCATable" ref="A1:I100">
  <tableColumns count="9">
    <tableColumn id="1" xr3:uid="{00000000-0010-0000-0300-000001000000}" name="Employee ID"/>
    <tableColumn id="2" xr3:uid="{00000000-0010-0000-0300-000002000000}" name="HCA Name"/>
    <tableColumn id="3" xr3:uid="{00000000-0010-0000-0300-000003000000}" name="Phone"/>
    <tableColumn id="4" xr3:uid="{00000000-0010-0000-0300-000004000000}" name="ZIP / Area"/>
    <tableColumn id="5" xr3:uid="{00000000-0010-0000-0300-000005000000}" name="Availability"/>
    <tableColumn id="6" xr3:uid="{00000000-0010-0000-0300-000006000000}" name="Experience"/>
    <tableColumn id="7" xr3:uid="{00000000-0010-0000-0300-000007000000}" name="Employment Status"/>
    <tableColumn id="8" xr3:uid="{00000000-0010-0000-0300-000008000000}" name="Owner"/>
    <tableColumn id="9" xr3:uid="{00000000-0010-0000-0300-000009000000}" name="Pertinent Note"/>
  </tableColumns>
  <tableStyleInfo name="READY TO WORK HC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CAApplicantsTable" displayName="HCAApplicantsTable" ref="A1:I142">
  <autoFilter ref="A1:I142" xr:uid="{00000000-0009-0000-0100-000005000000}"/>
  <tableColumns count="9">
    <tableColumn id="2" xr3:uid="{00000000-0010-0000-0400-000002000000}" name="HCA Name"/>
    <tableColumn id="3" xr3:uid="{00000000-0010-0000-0400-000003000000}" name="Phone"/>
    <tableColumn id="4" xr3:uid="{00000000-0010-0000-0400-000004000000}" name="Email"/>
    <tableColumn id="5" xr3:uid="{00000000-0010-0000-0400-000005000000}" name="ZIP / Area"/>
    <tableColumn id="7" xr3:uid="{00000000-0010-0000-0400-000007000000}" name="Experience"/>
    <tableColumn id="8" xr3:uid="{00000000-0010-0000-0400-000008000000}" name="Employment Status"/>
    <tableColumn id="9" xr3:uid="{00000000-0010-0000-0400-000009000000}" name="Status Date"/>
    <tableColumn id="10" xr3:uid="{00000000-0010-0000-0400-00000A000000}" name="Paperwork / ID"/>
    <tableColumn id="12" xr3:uid="{00000000-0010-0000-0400-00000C000000}" name="Pertinent Note"/>
  </tableColumns>
  <tableStyleInfo name="HCA APPLICAN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ientPipelineTable_2" displayName="ClientPipelineTable_2" ref="A1:S73">
  <autoFilter ref="A1:S73" xr:uid="{00000000-0009-0000-0100-000007000000}"/>
  <tableColumns count="19">
    <tableColumn id="1" xr3:uid="{00000000-0010-0000-0600-000001000000}" name="SN"/>
    <tableColumn id="2" xr3:uid="{00000000-0010-0000-0600-000002000000}" name="Client Name"/>
    <tableColumn id="3" xr3:uid="{00000000-0010-0000-0600-000003000000}" name="Phone / Main Contact"/>
    <tableColumn id="4" xr3:uid="{00000000-0010-0000-0600-000004000000}" name="City"/>
    <tableColumn id="5" xr3:uid="{00000000-0010-0000-0600-000005000000}" name="ZIP"/>
    <tableColumn id="6" xr3:uid="{00000000-0010-0000-0600-000006000000}" name="Insurance / MCO"/>
    <tableColumn id="7" xr3:uid="{00000000-0010-0000-0600-000007000000}" name="CCU"/>
    <tableColumn id="8" xr3:uid="{00000000-0010-0000-0600-000008000000}" name="Client Status"/>
    <tableColumn id="9" xr3:uid="{00000000-0010-0000-0600-000009000000}" name="Status Date"/>
    <tableColumn id="10" xr3:uid="{00000000-0010-0000-0600-00000A000000}" name="CCU Case Manager"/>
    <tableColumn id="11" xr3:uid="{00000000-0010-0000-0600-00000B000000}" name="CCU CM Phone"/>
    <tableColumn id="12" xr3:uid="{00000000-0010-0000-0600-00000C000000}" name="CCU CM Email"/>
    <tableColumn id="13" xr3:uid="{00000000-0010-0000-0600-00000D000000}" name="MCO Case Manager"/>
    <tableColumn id="14" xr3:uid="{00000000-0010-0000-0600-00000E000000}" name="MCO CM Phone"/>
    <tableColumn id="15" xr3:uid="{00000000-0010-0000-0600-00000F000000}" name="MCO CM Email"/>
    <tableColumn id="16" xr3:uid="{00000000-0010-0000-0600-000010000000}" name="Referred By"/>
    <tableColumn id="17" xr3:uid="{00000000-0010-0000-0600-000011000000}" name="Owner"/>
    <tableColumn id="18" xr3:uid="{00000000-0010-0000-0600-000012000000}" name="Next Follow-Up"/>
    <tableColumn id="19" xr3:uid="{00000000-0010-0000-0600-000013000000}" name="Pertinent Note"/>
  </tableColumns>
  <tableStyleInfo name="Arch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8UnTVC-9xAwH6hJuzDfvqi5G6C4vSwrEYMYz261V7wk/edit?tab=t.0" TargetMode="External"/><Relationship Id="rId2" Type="http://schemas.openxmlformats.org/officeDocument/2006/relationships/hyperlink" Target="mailto:binay.khadgi@sewasenior.com" TargetMode="External"/><Relationship Id="rId1" Type="http://schemas.openxmlformats.org/officeDocument/2006/relationships/hyperlink" Target="https://docs.google.com/document/d/18UnTVC-9xAwH6hJuzDfvqi5G6C4vSwrEYMYz261V7wk/edit?pli=1&amp;tab=t.0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inay.khadgi@sewasenior.com" TargetMode="External"/><Relationship Id="rId2" Type="http://schemas.openxmlformats.org/officeDocument/2006/relationships/hyperlink" Target="mailto:binay.khadgi@sewasenior.com" TargetMode="External"/><Relationship Id="rId1" Type="http://schemas.openxmlformats.org/officeDocument/2006/relationships/hyperlink" Target="mailto:binay.khadgi@sewasenior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7"/>
  <sheetViews>
    <sheetView workbookViewId="0">
      <selection activeCell="B32" sqref="B32"/>
    </sheetView>
  </sheetViews>
  <sheetFormatPr defaultColWidth="12.59765625" defaultRowHeight="15" customHeight="1"/>
  <cols>
    <col min="1" max="1" width="24" customWidth="1"/>
    <col min="2" max="2" width="52" customWidth="1"/>
    <col min="3" max="4" width="22" customWidth="1"/>
    <col min="5" max="8" width="15" customWidth="1"/>
    <col min="9" max="26" width="8.59765625" customWidth="1"/>
  </cols>
  <sheetData>
    <row r="1" spans="1:8" ht="30" customHeight="1">
      <c r="A1" s="31" t="s">
        <v>0</v>
      </c>
      <c r="B1" s="32"/>
      <c r="C1" s="32"/>
      <c r="D1" s="32"/>
      <c r="E1" s="32"/>
      <c r="F1" s="32"/>
      <c r="G1" s="32"/>
      <c r="H1" s="33"/>
    </row>
    <row r="2" spans="1:8" ht="14.25" customHeight="1"/>
    <row r="3" spans="1:8" ht="33.75" customHeight="1">
      <c r="A3" s="34" t="s">
        <v>1</v>
      </c>
      <c r="B3" s="35"/>
      <c r="C3" s="35"/>
      <c r="D3" s="35"/>
      <c r="E3" s="35"/>
      <c r="F3" s="35"/>
      <c r="G3" s="35"/>
      <c r="H3" s="36"/>
    </row>
    <row r="4" spans="1:8" ht="9" customHeight="1">
      <c r="A4" s="37"/>
      <c r="B4" s="38"/>
      <c r="C4" s="38"/>
      <c r="D4" s="38"/>
      <c r="E4" s="38"/>
      <c r="F4" s="38"/>
      <c r="G4" s="38"/>
      <c r="H4" s="39"/>
    </row>
    <row r="5" spans="1:8" ht="14.25" customHeight="1"/>
    <row r="6" spans="1:8" ht="14.25" customHeight="1">
      <c r="A6" s="40" t="s">
        <v>2</v>
      </c>
      <c r="B6" s="32"/>
      <c r="C6" s="32"/>
      <c r="D6" s="32"/>
      <c r="E6" s="32"/>
      <c r="F6" s="32"/>
      <c r="G6" s="32"/>
      <c r="H6" s="33"/>
    </row>
    <row r="7" spans="1:8" ht="14.25" customHeight="1">
      <c r="A7" s="1" t="s">
        <v>3</v>
      </c>
      <c r="B7" s="1" t="s">
        <v>4</v>
      </c>
      <c r="C7" s="1" t="s">
        <v>5</v>
      </c>
      <c r="D7" s="1" t="s">
        <v>6</v>
      </c>
    </row>
    <row r="8" spans="1:8" ht="14.25" customHeight="1">
      <c r="A8" s="2">
        <f>COUNTA(#REF!)-1</f>
        <v>0</v>
      </c>
      <c r="B8" s="2">
        <f>COUNTA('CLIENT PIPELINE'!$B:$B)-1</f>
        <v>36</v>
      </c>
      <c r="C8" s="2">
        <f>COUNTA('ACTIVE EMPLOYEES'!$B:$B)-1</f>
        <v>57</v>
      </c>
      <c r="D8" s="2">
        <f>COUNTA('READY TO WORK HCA'!$B:$B)-1</f>
        <v>24</v>
      </c>
    </row>
    <row r="9" spans="1:8" ht="14.25" customHeight="1"/>
    <row r="10" spans="1:8" ht="14.25" customHeight="1">
      <c r="A10" s="1" t="s">
        <v>15</v>
      </c>
      <c r="B10" s="1" t="s">
        <v>16</v>
      </c>
      <c r="C10" s="1" t="s">
        <v>17</v>
      </c>
      <c r="D10" s="1" t="s">
        <v>19</v>
      </c>
    </row>
    <row r="11" spans="1:8" ht="14.25" customHeight="1">
      <c r="A11" s="2">
        <f>COUNTA('HCA APPLICANTS'!$A:$A)-1</f>
        <v>116</v>
      </c>
      <c r="B11" s="2">
        <f>COUNTIF('DAILY FOLLOW-UP'!$G:$G,"Open")+COUNTIF('DAILY FOLLOW-UP'!$G:$G,"In Progress")</f>
        <v>22</v>
      </c>
      <c r="C11" s="2" t="e">
        <f>COUNTIFS(#REF!,"Active",#REF!,"",#REF!,"")+COUNTIFS(#REF!,"Approved / Setup",#REF!,"",#REF!,"")</f>
        <v>#REF!</v>
      </c>
      <c r="D11" s="2">
        <f>COUNTIFS('ACTIVE EMPLOYEES'!$D:$D,"Active",'ACTIVE EMPLOYEES'!$E:$E,"&lt;&gt;Yes")</f>
        <v>6</v>
      </c>
    </row>
    <row r="12" spans="1:8" ht="14.25" customHeight="1"/>
    <row r="13" spans="1:8" ht="14.25" customHeight="1"/>
    <row r="14" spans="1:8" ht="14.25" customHeight="1"/>
    <row r="15" spans="1:8" ht="14.25" customHeight="1">
      <c r="A15" s="40" t="s">
        <v>46</v>
      </c>
      <c r="B15" s="32"/>
      <c r="C15" s="32"/>
      <c r="D15" s="32"/>
      <c r="E15" s="32"/>
      <c r="F15" s="32"/>
      <c r="G15" s="32"/>
      <c r="H15" s="33"/>
    </row>
    <row r="16" spans="1:8" ht="14.25" customHeight="1">
      <c r="A16" s="10" t="s">
        <v>50</v>
      </c>
      <c r="B16" s="11" t="s">
        <v>51</v>
      </c>
      <c r="C16" s="13"/>
      <c r="D16" s="13"/>
      <c r="E16" s="13"/>
      <c r="F16" s="13"/>
      <c r="G16" s="13"/>
      <c r="H16" s="13"/>
    </row>
    <row r="17" spans="1:8" ht="14.25" customHeight="1">
      <c r="A17" s="10" t="s">
        <v>40</v>
      </c>
      <c r="B17" s="11" t="s">
        <v>56</v>
      </c>
      <c r="C17" s="13"/>
      <c r="D17" s="13"/>
      <c r="E17" s="13"/>
      <c r="F17" s="13"/>
      <c r="G17" s="13"/>
      <c r="H17" s="13"/>
    </row>
    <row r="18" spans="1:8" ht="14.25" customHeight="1">
      <c r="A18" s="10" t="s">
        <v>57</v>
      </c>
      <c r="B18" s="11" t="s">
        <v>58</v>
      </c>
      <c r="C18" s="13"/>
      <c r="D18" s="13"/>
      <c r="E18" s="13"/>
      <c r="F18" s="13"/>
      <c r="G18" s="13"/>
      <c r="H18" s="13"/>
    </row>
    <row r="19" spans="1:8" ht="14.25" customHeight="1">
      <c r="A19" s="10" t="s">
        <v>60</v>
      </c>
      <c r="B19" s="11" t="s">
        <v>61</v>
      </c>
      <c r="C19" s="13"/>
      <c r="D19" s="13"/>
      <c r="E19" s="13"/>
      <c r="F19" s="13"/>
      <c r="G19" s="13"/>
      <c r="H19" s="13"/>
    </row>
    <row r="20" spans="1:8" ht="14.25" customHeight="1"/>
    <row r="21" spans="1:8" ht="13.8">
      <c r="A21" s="41" t="s">
        <v>63</v>
      </c>
      <c r="B21" s="35"/>
      <c r="C21" s="35"/>
      <c r="D21" s="35"/>
      <c r="E21" s="35"/>
      <c r="F21" s="35"/>
      <c r="G21" s="35"/>
      <c r="H21" s="36"/>
    </row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5">
    <mergeCell ref="A1:H1"/>
    <mergeCell ref="A3:H4"/>
    <mergeCell ref="A6:H6"/>
    <mergeCell ref="A15:H15"/>
    <mergeCell ref="A21:H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78D8"/>
  </sheetPr>
  <dimension ref="A1:Z1028"/>
  <sheetViews>
    <sheetView workbookViewId="0">
      <pane ySplit="1" topLeftCell="A2" activePane="bottomLeft" state="frozen"/>
      <selection pane="bottomLeft" activeCell="D52" sqref="D52"/>
    </sheetView>
  </sheetViews>
  <sheetFormatPr defaultColWidth="12.59765625" defaultRowHeight="15" customHeight="1"/>
  <cols>
    <col min="1" max="1" width="13" customWidth="1"/>
    <col min="2" max="2" width="10" customWidth="1"/>
    <col min="3" max="3" width="28.59765625" customWidth="1"/>
    <col min="4" max="4" width="56" customWidth="1"/>
    <col min="5" max="5" width="16" customWidth="1"/>
    <col min="6" max="6" width="15" customWidth="1"/>
    <col min="7" max="7" width="12" customWidth="1"/>
    <col min="8" max="8" width="52.09765625" customWidth="1"/>
    <col min="9" max="26" width="8.59765625" customWidth="1"/>
  </cols>
  <sheetData>
    <row r="1" spans="1:26" ht="14.25" customHeight="1">
      <c r="A1" s="1" t="s">
        <v>9</v>
      </c>
      <c r="B1" s="1" t="s">
        <v>12</v>
      </c>
      <c r="C1" s="1" t="s">
        <v>18</v>
      </c>
      <c r="D1" s="1" t="s">
        <v>22</v>
      </c>
      <c r="E1" s="1" t="s">
        <v>25</v>
      </c>
      <c r="F1" s="1" t="s">
        <v>27</v>
      </c>
      <c r="G1" s="1" t="s">
        <v>30</v>
      </c>
      <c r="H1" s="1" t="s">
        <v>31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7"/>
      <c r="B2" s="8"/>
      <c r="C2" s="8"/>
      <c r="D2" s="12" t="s">
        <v>43</v>
      </c>
      <c r="E2" s="8"/>
      <c r="F2" s="14"/>
      <c r="G2" s="6"/>
      <c r="H2" s="1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hidden="1" customHeight="1">
      <c r="A3" s="14">
        <v>46286</v>
      </c>
      <c r="B3" s="6" t="s">
        <v>67</v>
      </c>
      <c r="C3" s="6" t="s">
        <v>68</v>
      </c>
      <c r="D3" s="9" t="s">
        <v>70</v>
      </c>
      <c r="E3" s="6" t="s">
        <v>50</v>
      </c>
      <c r="F3" s="18">
        <v>46287</v>
      </c>
      <c r="G3" s="6" t="s">
        <v>72</v>
      </c>
      <c r="H3" s="9"/>
    </row>
    <row r="4" spans="1:26" ht="14.25" customHeight="1">
      <c r="A4" s="20">
        <v>46293</v>
      </c>
      <c r="B4" s="21" t="s">
        <v>77</v>
      </c>
      <c r="C4" s="21" t="s">
        <v>79</v>
      </c>
      <c r="D4" s="22" t="s">
        <v>80</v>
      </c>
      <c r="E4" s="21" t="s">
        <v>57</v>
      </c>
      <c r="F4" s="20">
        <v>46300</v>
      </c>
      <c r="G4" s="17" t="s">
        <v>83</v>
      </c>
      <c r="H4" s="23" t="s">
        <v>84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20">
        <v>46293</v>
      </c>
      <c r="B5" s="21" t="s">
        <v>77</v>
      </c>
      <c r="C5" s="21" t="s">
        <v>88</v>
      </c>
      <c r="D5" s="22" t="s">
        <v>90</v>
      </c>
      <c r="E5" s="21" t="s">
        <v>50</v>
      </c>
      <c r="F5" s="20">
        <v>46300</v>
      </c>
      <c r="G5" s="17" t="s">
        <v>92</v>
      </c>
      <c r="H5" s="23" t="s">
        <v>95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hidden="1" customHeight="1">
      <c r="A6" s="20">
        <v>46289</v>
      </c>
      <c r="B6" s="21" t="s">
        <v>98</v>
      </c>
      <c r="C6" s="21" t="s">
        <v>99</v>
      </c>
      <c r="D6" s="22" t="s">
        <v>101</v>
      </c>
      <c r="E6" s="21" t="s">
        <v>40</v>
      </c>
      <c r="F6" s="20">
        <v>46289</v>
      </c>
      <c r="G6" s="17" t="s">
        <v>72</v>
      </c>
      <c r="H6" s="23" t="s">
        <v>105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hidden="1" customHeight="1">
      <c r="A7" s="20">
        <v>46293</v>
      </c>
      <c r="B7" s="21" t="s">
        <v>77</v>
      </c>
      <c r="C7" s="21" t="s">
        <v>108</v>
      </c>
      <c r="D7" s="22" t="s">
        <v>110</v>
      </c>
      <c r="E7" s="21" t="s">
        <v>40</v>
      </c>
      <c r="F7" s="20">
        <v>46293</v>
      </c>
      <c r="G7" s="17" t="s">
        <v>72</v>
      </c>
      <c r="H7" s="2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hidden="1" customHeight="1">
      <c r="A8" s="20">
        <v>46297</v>
      </c>
      <c r="B8" s="21" t="s">
        <v>77</v>
      </c>
      <c r="C8" s="21" t="s">
        <v>120</v>
      </c>
      <c r="D8" s="24" t="s">
        <v>121</v>
      </c>
      <c r="E8" s="21" t="s">
        <v>40</v>
      </c>
      <c r="F8" s="20">
        <v>46297</v>
      </c>
      <c r="G8" s="17" t="s">
        <v>72</v>
      </c>
      <c r="H8" s="23" t="s">
        <v>127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20">
        <v>46293</v>
      </c>
      <c r="B9" s="21" t="s">
        <v>77</v>
      </c>
      <c r="C9" s="21" t="s">
        <v>129</v>
      </c>
      <c r="D9" s="22" t="s">
        <v>131</v>
      </c>
      <c r="E9" s="21" t="s">
        <v>57</v>
      </c>
      <c r="F9" s="20">
        <v>46300</v>
      </c>
      <c r="G9" s="17" t="s">
        <v>83</v>
      </c>
      <c r="H9" s="23" t="s">
        <v>134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hidden="1" customHeight="1">
      <c r="A10" s="14">
        <v>46287</v>
      </c>
      <c r="B10" s="6" t="s">
        <v>77</v>
      </c>
      <c r="C10" s="6" t="s">
        <v>137</v>
      </c>
      <c r="D10" s="9" t="s">
        <v>138</v>
      </c>
      <c r="E10" s="6" t="s">
        <v>50</v>
      </c>
      <c r="F10" s="18">
        <v>46287</v>
      </c>
      <c r="G10" s="6" t="s">
        <v>72</v>
      </c>
      <c r="H10" s="9" t="s">
        <v>140</v>
      </c>
    </row>
    <row r="11" spans="1:26" ht="14.25" hidden="1" customHeight="1">
      <c r="A11" s="14">
        <v>46287</v>
      </c>
      <c r="B11" s="6" t="s">
        <v>98</v>
      </c>
      <c r="C11" s="6" t="s">
        <v>142</v>
      </c>
      <c r="D11" s="9" t="s">
        <v>143</v>
      </c>
      <c r="E11" s="6" t="s">
        <v>50</v>
      </c>
      <c r="F11" s="18">
        <v>46287</v>
      </c>
      <c r="G11" s="6" t="s">
        <v>72</v>
      </c>
      <c r="H11" s="9" t="s">
        <v>144</v>
      </c>
    </row>
    <row r="12" spans="1:26" ht="14.25" customHeight="1">
      <c r="A12" s="20">
        <v>46293</v>
      </c>
      <c r="B12" s="21" t="s">
        <v>67</v>
      </c>
      <c r="C12" s="21" t="s">
        <v>147</v>
      </c>
      <c r="D12" s="22" t="s">
        <v>149</v>
      </c>
      <c r="E12" s="21" t="s">
        <v>50</v>
      </c>
      <c r="F12" s="20">
        <v>46300</v>
      </c>
      <c r="G12" s="17" t="s">
        <v>92</v>
      </c>
      <c r="H12" s="23" t="s">
        <v>152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hidden="1" customHeight="1">
      <c r="A13" s="20">
        <v>46287</v>
      </c>
      <c r="B13" s="21" t="s">
        <v>77</v>
      </c>
      <c r="C13" s="21" t="s">
        <v>157</v>
      </c>
      <c r="D13" s="23" t="s">
        <v>158</v>
      </c>
      <c r="E13" s="21" t="s">
        <v>50</v>
      </c>
      <c r="F13" s="20">
        <v>46290</v>
      </c>
      <c r="G13" s="17" t="s">
        <v>72</v>
      </c>
      <c r="H13" s="23" t="s">
        <v>159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hidden="1" customHeight="1">
      <c r="A14" s="20">
        <v>46287</v>
      </c>
      <c r="B14" s="21" t="s">
        <v>67</v>
      </c>
      <c r="C14" s="21" t="s">
        <v>162</v>
      </c>
      <c r="D14" s="23" t="s">
        <v>163</v>
      </c>
      <c r="E14" s="21" t="s">
        <v>50</v>
      </c>
      <c r="F14" s="20"/>
      <c r="G14" s="17" t="s">
        <v>72</v>
      </c>
      <c r="H14" s="2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hidden="1" customHeight="1">
      <c r="A15" s="14">
        <v>46287</v>
      </c>
      <c r="B15" s="6" t="s">
        <v>77</v>
      </c>
      <c r="C15" s="6" t="s">
        <v>167</v>
      </c>
      <c r="D15" s="9" t="s">
        <v>168</v>
      </c>
      <c r="E15" s="6" t="s">
        <v>50</v>
      </c>
      <c r="F15" s="18">
        <v>46287</v>
      </c>
      <c r="G15" s="6" t="s">
        <v>72</v>
      </c>
      <c r="H15" s="9"/>
    </row>
    <row r="16" spans="1:26" ht="14.25" customHeight="1">
      <c r="A16" s="20">
        <v>46293</v>
      </c>
      <c r="B16" s="21" t="s">
        <v>77</v>
      </c>
      <c r="C16" s="21" t="s">
        <v>174</v>
      </c>
      <c r="D16" s="22" t="s">
        <v>175</v>
      </c>
      <c r="E16" s="21" t="s">
        <v>50</v>
      </c>
      <c r="F16" s="26">
        <v>46300</v>
      </c>
      <c r="G16" s="17" t="s">
        <v>92</v>
      </c>
      <c r="H16" s="23" t="s">
        <v>179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20">
        <v>46294</v>
      </c>
      <c r="B17" s="21" t="s">
        <v>77</v>
      </c>
      <c r="C17" s="27" t="s">
        <v>182</v>
      </c>
      <c r="D17" s="22" t="s">
        <v>187</v>
      </c>
      <c r="E17" s="21" t="s">
        <v>50</v>
      </c>
      <c r="F17" s="20">
        <v>46300</v>
      </c>
      <c r="G17" s="17" t="s">
        <v>92</v>
      </c>
      <c r="H17" s="23" t="s">
        <v>190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20">
        <v>46294</v>
      </c>
      <c r="B18" s="21" t="s">
        <v>77</v>
      </c>
      <c r="C18" s="21" t="s">
        <v>195</v>
      </c>
      <c r="D18" s="22" t="s">
        <v>197</v>
      </c>
      <c r="E18" s="21" t="s">
        <v>50</v>
      </c>
      <c r="F18" s="20">
        <v>46300</v>
      </c>
      <c r="G18" s="17" t="s">
        <v>92</v>
      </c>
      <c r="H18" s="23" t="s">
        <v>198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hidden="1" customHeight="1">
      <c r="A19" s="20">
        <v>46287</v>
      </c>
      <c r="B19" s="21" t="s">
        <v>77</v>
      </c>
      <c r="C19" s="21" t="s">
        <v>205</v>
      </c>
      <c r="D19" s="23" t="s">
        <v>158</v>
      </c>
      <c r="E19" s="21" t="s">
        <v>50</v>
      </c>
      <c r="F19" s="20">
        <v>46288</v>
      </c>
      <c r="G19" s="17" t="s">
        <v>72</v>
      </c>
      <c r="H19" s="2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hidden="1" customHeight="1">
      <c r="A20" s="20">
        <v>46294</v>
      </c>
      <c r="B20" s="21" t="s">
        <v>67</v>
      </c>
      <c r="C20" s="21" t="s">
        <v>212</v>
      </c>
      <c r="D20" s="22" t="s">
        <v>213</v>
      </c>
      <c r="E20" s="21" t="s">
        <v>50</v>
      </c>
      <c r="F20" s="20">
        <v>46300</v>
      </c>
      <c r="G20" s="17" t="s">
        <v>72</v>
      </c>
      <c r="H20" s="2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hidden="1" customHeight="1">
      <c r="A21" s="14">
        <v>46287</v>
      </c>
      <c r="B21" s="6" t="s">
        <v>77</v>
      </c>
      <c r="C21" s="6" t="s">
        <v>220</v>
      </c>
      <c r="D21" s="9" t="s">
        <v>221</v>
      </c>
      <c r="E21" s="6" t="s">
        <v>57</v>
      </c>
      <c r="F21" s="18">
        <v>46287</v>
      </c>
      <c r="G21" s="6" t="s">
        <v>72</v>
      </c>
      <c r="H21" s="9"/>
    </row>
    <row r="22" spans="1:26" ht="14.25" customHeight="1">
      <c r="A22" s="20">
        <v>46294</v>
      </c>
      <c r="B22" s="21" t="s">
        <v>67</v>
      </c>
      <c r="C22" s="21" t="s">
        <v>224</v>
      </c>
      <c r="D22" s="22" t="s">
        <v>226</v>
      </c>
      <c r="E22" s="21" t="s">
        <v>57</v>
      </c>
      <c r="F22" s="20">
        <v>46300</v>
      </c>
      <c r="G22" s="17" t="s">
        <v>72</v>
      </c>
      <c r="H22" s="23" t="s">
        <v>232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hidden="1" customHeight="1">
      <c r="A23" s="20">
        <v>46287</v>
      </c>
      <c r="B23" s="21" t="s">
        <v>98</v>
      </c>
      <c r="C23" s="21"/>
      <c r="D23" s="22" t="s">
        <v>235</v>
      </c>
      <c r="E23" s="21" t="s">
        <v>50</v>
      </c>
      <c r="F23" s="20">
        <v>46290</v>
      </c>
      <c r="G23" s="17" t="s">
        <v>72</v>
      </c>
      <c r="H23" s="23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hidden="1" customHeight="1">
      <c r="A24" s="20">
        <v>46288</v>
      </c>
      <c r="B24" s="21" t="s">
        <v>77</v>
      </c>
      <c r="C24" s="21" t="s">
        <v>239</v>
      </c>
      <c r="D24" s="22" t="s">
        <v>158</v>
      </c>
      <c r="E24" s="21" t="s">
        <v>50</v>
      </c>
      <c r="F24" s="20"/>
      <c r="G24" s="17" t="s">
        <v>72</v>
      </c>
      <c r="H24" s="2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hidden="1" customHeight="1">
      <c r="A25" s="20">
        <v>46296</v>
      </c>
      <c r="B25" s="21" t="s">
        <v>67</v>
      </c>
      <c r="C25" s="21" t="s">
        <v>248</v>
      </c>
      <c r="D25" s="22" t="s">
        <v>249</v>
      </c>
      <c r="E25" s="21" t="s">
        <v>50</v>
      </c>
      <c r="F25" s="20">
        <v>46296</v>
      </c>
      <c r="G25" s="17" t="s">
        <v>72</v>
      </c>
      <c r="H25" s="23" t="s">
        <v>252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hidden="1" customHeight="1">
      <c r="A26" s="20">
        <v>46294</v>
      </c>
      <c r="B26" s="21" t="s">
        <v>77</v>
      </c>
      <c r="C26" s="21" t="s">
        <v>253</v>
      </c>
      <c r="D26" s="22" t="s">
        <v>254</v>
      </c>
      <c r="E26" s="21" t="s">
        <v>50</v>
      </c>
      <c r="F26" s="20">
        <v>46296</v>
      </c>
      <c r="G26" s="17" t="s">
        <v>72</v>
      </c>
      <c r="H26" s="23" t="s">
        <v>258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20">
        <v>46294</v>
      </c>
      <c r="B27" s="21" t="s">
        <v>67</v>
      </c>
      <c r="C27" s="21" t="s">
        <v>264</v>
      </c>
      <c r="D27" s="22" t="s">
        <v>266</v>
      </c>
      <c r="E27" s="21" t="s">
        <v>50</v>
      </c>
      <c r="F27" s="20">
        <v>46301</v>
      </c>
      <c r="G27" s="17" t="s">
        <v>92</v>
      </c>
      <c r="H27" s="23" t="s">
        <v>267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20">
        <v>46294</v>
      </c>
      <c r="B28" s="21" t="s">
        <v>98</v>
      </c>
      <c r="C28" s="21"/>
      <c r="D28" s="22" t="s">
        <v>269</v>
      </c>
      <c r="E28" s="21" t="s">
        <v>50</v>
      </c>
      <c r="F28" s="20"/>
      <c r="G28" s="17" t="s">
        <v>92</v>
      </c>
      <c r="H28" s="23" t="s">
        <v>273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hidden="1" customHeight="1">
      <c r="A29" s="20">
        <v>46295</v>
      </c>
      <c r="B29" s="21" t="s">
        <v>77</v>
      </c>
      <c r="C29" s="21" t="s">
        <v>279</v>
      </c>
      <c r="D29" s="22" t="s">
        <v>282</v>
      </c>
      <c r="E29" s="21" t="s">
        <v>50</v>
      </c>
      <c r="F29" s="20">
        <v>46294</v>
      </c>
      <c r="G29" s="17" t="s">
        <v>72</v>
      </c>
      <c r="H29" s="23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hidden="1" customHeight="1">
      <c r="A30" s="20">
        <v>46295</v>
      </c>
      <c r="B30" s="21" t="s">
        <v>67</v>
      </c>
      <c r="C30" s="21" t="s">
        <v>286</v>
      </c>
      <c r="D30" s="22" t="s">
        <v>289</v>
      </c>
      <c r="E30" s="21" t="s">
        <v>57</v>
      </c>
      <c r="F30" s="20">
        <v>46295</v>
      </c>
      <c r="G30" s="17" t="s">
        <v>72</v>
      </c>
      <c r="H30" s="23" t="s">
        <v>294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20">
        <v>46295</v>
      </c>
      <c r="B31" s="21" t="s">
        <v>77</v>
      </c>
      <c r="C31" s="21" t="s">
        <v>300</v>
      </c>
      <c r="D31" s="22" t="s">
        <v>301</v>
      </c>
      <c r="E31" s="21" t="s">
        <v>57</v>
      </c>
      <c r="F31" s="20">
        <v>46304</v>
      </c>
      <c r="G31" s="17" t="s">
        <v>83</v>
      </c>
      <c r="H31" s="23" t="s">
        <v>302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hidden="1" customHeight="1">
      <c r="A32" s="20">
        <v>46290</v>
      </c>
      <c r="B32" s="21" t="s">
        <v>77</v>
      </c>
      <c r="C32" s="21" t="s">
        <v>310</v>
      </c>
      <c r="D32" s="22" t="s">
        <v>313</v>
      </c>
      <c r="E32" s="21" t="s">
        <v>57</v>
      </c>
      <c r="F32" s="20">
        <v>46293</v>
      </c>
      <c r="G32" s="17" t="s">
        <v>72</v>
      </c>
      <c r="H32" s="2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20">
        <v>46294</v>
      </c>
      <c r="B33" s="21" t="s">
        <v>77</v>
      </c>
      <c r="C33" s="21" t="s">
        <v>319</v>
      </c>
      <c r="D33" s="22" t="s">
        <v>320</v>
      </c>
      <c r="E33" s="21" t="s">
        <v>50</v>
      </c>
      <c r="F33" s="20">
        <v>46300</v>
      </c>
      <c r="G33" s="17" t="s">
        <v>92</v>
      </c>
      <c r="H33" s="23" t="s">
        <v>324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hidden="1" customHeight="1">
      <c r="A34" s="20">
        <v>46288</v>
      </c>
      <c r="B34" s="21" t="s">
        <v>98</v>
      </c>
      <c r="C34" s="21" t="s">
        <v>329</v>
      </c>
      <c r="D34" s="22" t="s">
        <v>332</v>
      </c>
      <c r="E34" s="21" t="s">
        <v>50</v>
      </c>
      <c r="F34" s="20">
        <v>46290</v>
      </c>
      <c r="G34" s="17" t="s">
        <v>72</v>
      </c>
      <c r="H34" s="23" t="s">
        <v>337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hidden="1" customHeight="1">
      <c r="A35" s="20">
        <v>46288</v>
      </c>
      <c r="B35" s="21" t="s">
        <v>67</v>
      </c>
      <c r="C35" s="21" t="s">
        <v>339</v>
      </c>
      <c r="D35" s="22" t="s">
        <v>341</v>
      </c>
      <c r="E35" s="21" t="s">
        <v>50</v>
      </c>
      <c r="F35" s="20">
        <v>46289</v>
      </c>
      <c r="G35" s="17" t="s">
        <v>72</v>
      </c>
      <c r="H35" s="2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20">
        <v>46294</v>
      </c>
      <c r="B36" s="21" t="s">
        <v>67</v>
      </c>
      <c r="C36" s="21"/>
      <c r="D36" s="22" t="s">
        <v>349</v>
      </c>
      <c r="E36" s="21" t="s">
        <v>50</v>
      </c>
      <c r="F36" s="20">
        <v>46296</v>
      </c>
      <c r="G36" s="17" t="s">
        <v>83</v>
      </c>
      <c r="H36" s="2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20">
        <v>46296</v>
      </c>
      <c r="B37" s="21" t="s">
        <v>77</v>
      </c>
      <c r="C37" s="21" t="s">
        <v>358</v>
      </c>
      <c r="D37" s="22" t="s">
        <v>359</v>
      </c>
      <c r="E37" s="21" t="s">
        <v>40</v>
      </c>
      <c r="F37" s="20">
        <v>46302</v>
      </c>
      <c r="G37" s="17" t="s">
        <v>92</v>
      </c>
      <c r="H37" s="23" t="s">
        <v>363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20">
        <v>46301</v>
      </c>
      <c r="B38" s="21" t="s">
        <v>77</v>
      </c>
      <c r="C38" s="21" t="s">
        <v>366</v>
      </c>
      <c r="D38" s="22" t="s">
        <v>368</v>
      </c>
      <c r="E38" s="21" t="s">
        <v>40</v>
      </c>
      <c r="F38" s="20">
        <v>46301</v>
      </c>
      <c r="G38" s="17" t="s">
        <v>92</v>
      </c>
      <c r="H38" s="2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20">
        <v>46301</v>
      </c>
      <c r="B39" s="21" t="s">
        <v>67</v>
      </c>
      <c r="C39" s="21" t="s">
        <v>136</v>
      </c>
      <c r="D39" s="22" t="s">
        <v>375</v>
      </c>
      <c r="E39" s="21" t="s">
        <v>57</v>
      </c>
      <c r="F39" s="20">
        <v>46301</v>
      </c>
      <c r="G39" s="17" t="s">
        <v>83</v>
      </c>
      <c r="H39" s="2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20">
        <v>46294</v>
      </c>
      <c r="B40" s="21" t="s">
        <v>77</v>
      </c>
      <c r="C40" s="21" t="s">
        <v>380</v>
      </c>
      <c r="D40" s="22" t="s">
        <v>381</v>
      </c>
      <c r="E40" s="21" t="s">
        <v>50</v>
      </c>
      <c r="F40" s="20">
        <v>46305</v>
      </c>
      <c r="G40" s="17" t="s">
        <v>92</v>
      </c>
      <c r="H40" s="2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20">
        <v>46295</v>
      </c>
      <c r="B41" s="21" t="s">
        <v>98</v>
      </c>
      <c r="C41" s="21" t="s">
        <v>386</v>
      </c>
      <c r="D41" s="22" t="s">
        <v>389</v>
      </c>
      <c r="E41" s="21" t="s">
        <v>50</v>
      </c>
      <c r="F41" s="20"/>
      <c r="G41" s="17" t="s">
        <v>92</v>
      </c>
      <c r="H41" s="2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20">
        <v>46295</v>
      </c>
      <c r="B42" s="21" t="s">
        <v>77</v>
      </c>
      <c r="C42" s="21" t="s">
        <v>397</v>
      </c>
      <c r="D42" s="22" t="s">
        <v>398</v>
      </c>
      <c r="E42" s="21" t="s">
        <v>40</v>
      </c>
      <c r="F42" s="20">
        <v>46296</v>
      </c>
      <c r="G42" s="17" t="s">
        <v>83</v>
      </c>
      <c r="H42" s="2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hidden="1" customHeight="1">
      <c r="A43" s="20">
        <v>46296</v>
      </c>
      <c r="B43" s="21" t="s">
        <v>77</v>
      </c>
      <c r="C43" s="21" t="s">
        <v>402</v>
      </c>
      <c r="D43" s="22" t="s">
        <v>405</v>
      </c>
      <c r="E43" s="21" t="s">
        <v>40</v>
      </c>
      <c r="F43" s="20">
        <v>46296</v>
      </c>
      <c r="G43" s="17" t="s">
        <v>72</v>
      </c>
      <c r="H43" s="2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hidden="1" customHeight="1">
      <c r="A44" s="20">
        <v>46300</v>
      </c>
      <c r="B44" s="21" t="s">
        <v>98</v>
      </c>
      <c r="C44" s="21"/>
      <c r="D44" s="22" t="s">
        <v>411</v>
      </c>
      <c r="E44" s="21" t="s">
        <v>40</v>
      </c>
      <c r="F44" s="20"/>
      <c r="G44" s="17" t="s">
        <v>72</v>
      </c>
      <c r="H44" s="2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20">
        <v>46300</v>
      </c>
      <c r="B45" s="21" t="s">
        <v>77</v>
      </c>
      <c r="C45" s="21"/>
      <c r="D45" s="22"/>
      <c r="E45" s="21"/>
      <c r="F45" s="20"/>
      <c r="G45" s="17"/>
      <c r="H45" s="2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20">
        <v>46300</v>
      </c>
      <c r="B46" s="21" t="s">
        <v>67</v>
      </c>
      <c r="C46" s="23" t="s">
        <v>424</v>
      </c>
      <c r="D46" s="22" t="s">
        <v>426</v>
      </c>
      <c r="E46" s="21" t="s">
        <v>40</v>
      </c>
      <c r="F46" s="20">
        <v>46301</v>
      </c>
      <c r="G46" s="17" t="s">
        <v>83</v>
      </c>
      <c r="H46" s="2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20">
        <v>46300</v>
      </c>
      <c r="B47" s="21" t="s">
        <v>77</v>
      </c>
      <c r="C47" s="23" t="s">
        <v>429</v>
      </c>
      <c r="D47" s="22" t="s">
        <v>430</v>
      </c>
      <c r="E47" s="21" t="s">
        <v>40</v>
      </c>
      <c r="F47" s="20">
        <v>46301</v>
      </c>
      <c r="G47" s="17" t="s">
        <v>83</v>
      </c>
      <c r="H47" s="2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20">
        <v>46300</v>
      </c>
      <c r="B48" s="21" t="s">
        <v>77</v>
      </c>
      <c r="C48" s="21" t="s">
        <v>436</v>
      </c>
      <c r="D48" s="22" t="s">
        <v>437</v>
      </c>
      <c r="E48" s="21" t="s">
        <v>40</v>
      </c>
      <c r="F48" s="20">
        <v>46301</v>
      </c>
      <c r="G48" s="17" t="s">
        <v>83</v>
      </c>
      <c r="H48" s="23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20">
        <v>46301</v>
      </c>
      <c r="B49" s="21" t="s">
        <v>67</v>
      </c>
      <c r="C49" s="23" t="s">
        <v>438</v>
      </c>
      <c r="D49" s="22"/>
      <c r="E49" s="21" t="s">
        <v>40</v>
      </c>
      <c r="F49" s="20">
        <v>46301</v>
      </c>
      <c r="G49" s="17" t="s">
        <v>83</v>
      </c>
      <c r="H49" s="2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20"/>
      <c r="B50" s="21"/>
      <c r="C50" s="21"/>
      <c r="D50" s="22"/>
      <c r="E50" s="21"/>
      <c r="F50" s="20"/>
      <c r="G50" s="17"/>
      <c r="H50" s="23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20"/>
      <c r="B51" s="21"/>
      <c r="C51" s="21"/>
      <c r="D51" s="22"/>
      <c r="E51" s="21"/>
      <c r="F51" s="20"/>
      <c r="G51" s="17"/>
      <c r="H51" s="2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20"/>
      <c r="B52" s="21"/>
      <c r="C52" s="21"/>
      <c r="D52" s="22"/>
      <c r="E52" s="21"/>
      <c r="F52" s="20"/>
      <c r="G52" s="17"/>
      <c r="H52" s="2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20"/>
      <c r="B53" s="21"/>
      <c r="C53" s="21"/>
      <c r="D53" s="22"/>
      <c r="E53" s="21"/>
      <c r="F53" s="20"/>
      <c r="G53" s="17"/>
      <c r="H53" s="23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20"/>
      <c r="B54" s="21"/>
      <c r="C54" s="21"/>
      <c r="D54" s="22"/>
      <c r="E54" s="21"/>
      <c r="F54" s="20"/>
      <c r="G54" s="17"/>
      <c r="H54" s="2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20"/>
      <c r="B55" s="21"/>
      <c r="C55" s="21"/>
      <c r="D55" s="22"/>
      <c r="E55" s="21"/>
      <c r="F55" s="20"/>
      <c r="G55" s="17"/>
      <c r="H55" s="2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20"/>
      <c r="B56" s="21"/>
      <c r="C56" s="21"/>
      <c r="D56" s="22"/>
      <c r="E56" s="21"/>
      <c r="F56" s="20"/>
      <c r="G56" s="17"/>
      <c r="H56" s="23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20"/>
      <c r="B57" s="21"/>
      <c r="C57" s="21"/>
      <c r="D57" s="22"/>
      <c r="E57" s="21"/>
      <c r="F57" s="20"/>
      <c r="G57" s="17"/>
      <c r="H57" s="23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20"/>
      <c r="B58" s="21"/>
      <c r="C58" s="21"/>
      <c r="D58" s="22"/>
      <c r="E58" s="21"/>
      <c r="F58" s="20"/>
      <c r="G58" s="17"/>
      <c r="H58" s="23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20"/>
      <c r="B59" s="21"/>
      <c r="C59" s="21"/>
      <c r="D59" s="22"/>
      <c r="E59" s="21"/>
      <c r="F59" s="20"/>
      <c r="G59" s="17"/>
      <c r="H59" s="2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20"/>
      <c r="B60" s="21"/>
      <c r="C60" s="21"/>
      <c r="D60" s="22"/>
      <c r="E60" s="21"/>
      <c r="F60" s="20"/>
      <c r="G60" s="17"/>
      <c r="H60" s="23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20"/>
      <c r="B61" s="21"/>
      <c r="C61" s="21"/>
      <c r="D61" s="22"/>
      <c r="E61" s="21"/>
      <c r="F61" s="20"/>
      <c r="G61" s="17"/>
      <c r="H61" s="2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20"/>
      <c r="B62" s="21"/>
      <c r="C62" s="21"/>
      <c r="D62" s="22"/>
      <c r="E62" s="21"/>
      <c r="F62" s="20"/>
      <c r="G62" s="17"/>
      <c r="H62" s="2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20"/>
      <c r="B63" s="21"/>
      <c r="C63" s="21"/>
      <c r="D63" s="22"/>
      <c r="E63" s="21"/>
      <c r="F63" s="20"/>
      <c r="G63" s="17"/>
      <c r="H63" s="23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20"/>
      <c r="B64" s="21"/>
      <c r="C64" s="21"/>
      <c r="D64" s="22"/>
      <c r="E64" s="21"/>
      <c r="F64" s="20"/>
      <c r="G64" s="17"/>
      <c r="H64" s="23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20"/>
      <c r="B65" s="21"/>
      <c r="C65" s="21"/>
      <c r="D65" s="22"/>
      <c r="E65" s="21"/>
      <c r="F65" s="20"/>
      <c r="G65" s="17"/>
      <c r="H65" s="2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20"/>
      <c r="B66" s="21"/>
      <c r="C66" s="21"/>
      <c r="D66" s="22"/>
      <c r="E66" s="21"/>
      <c r="F66" s="20"/>
      <c r="G66" s="17"/>
      <c r="H66" s="2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20"/>
      <c r="B67" s="21"/>
      <c r="C67" s="21"/>
      <c r="D67" s="22"/>
      <c r="E67" s="21"/>
      <c r="F67" s="20"/>
      <c r="G67" s="17"/>
      <c r="H67" s="2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20"/>
      <c r="B68" s="21"/>
      <c r="C68" s="21"/>
      <c r="D68" s="22"/>
      <c r="E68" s="21"/>
      <c r="F68" s="20"/>
      <c r="G68" s="17"/>
      <c r="H68" s="2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20"/>
      <c r="B69" s="21"/>
      <c r="C69" s="21"/>
      <c r="D69" s="22"/>
      <c r="E69" s="21"/>
      <c r="F69" s="20"/>
      <c r="G69" s="17"/>
      <c r="H69" s="2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20"/>
      <c r="B70" s="21"/>
      <c r="C70" s="21"/>
      <c r="D70" s="22"/>
      <c r="E70" s="21"/>
      <c r="F70" s="20"/>
      <c r="G70" s="17"/>
      <c r="H70" s="2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20"/>
      <c r="B71" s="21"/>
      <c r="C71" s="21"/>
      <c r="D71" s="22"/>
      <c r="E71" s="21"/>
      <c r="F71" s="20"/>
      <c r="G71" s="17"/>
      <c r="H71" s="2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20"/>
      <c r="B72" s="21"/>
      <c r="C72" s="21"/>
      <c r="D72" s="22"/>
      <c r="E72" s="21"/>
      <c r="F72" s="20"/>
      <c r="G72" s="17"/>
      <c r="H72" s="2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20"/>
      <c r="B73" s="21"/>
      <c r="C73" s="21"/>
      <c r="D73" s="22"/>
      <c r="E73" s="21"/>
      <c r="F73" s="20"/>
      <c r="G73" s="17"/>
      <c r="H73" s="2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20"/>
      <c r="B74" s="21"/>
      <c r="C74" s="21"/>
      <c r="D74" s="22"/>
      <c r="E74" s="21"/>
      <c r="F74" s="20"/>
      <c r="G74" s="17"/>
      <c r="H74" s="2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20"/>
      <c r="B75" s="21"/>
      <c r="C75" s="21"/>
      <c r="D75" s="22"/>
      <c r="E75" s="21"/>
      <c r="F75" s="20"/>
      <c r="G75" s="17"/>
      <c r="H75" s="2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20"/>
      <c r="B76" s="21"/>
      <c r="C76" s="21"/>
      <c r="D76" s="22"/>
      <c r="E76" s="21"/>
      <c r="F76" s="20"/>
      <c r="G76" s="17"/>
      <c r="H76" s="2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20"/>
      <c r="B77" s="21"/>
      <c r="C77" s="21"/>
      <c r="D77" s="22"/>
      <c r="E77" s="21"/>
      <c r="F77" s="20"/>
      <c r="G77" s="17"/>
      <c r="H77" s="2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20"/>
      <c r="B78" s="21"/>
      <c r="C78" s="21"/>
      <c r="D78" s="22"/>
      <c r="E78" s="21"/>
      <c r="F78" s="20"/>
      <c r="G78" s="17"/>
      <c r="H78" s="2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20"/>
      <c r="B79" s="21"/>
      <c r="C79" s="21"/>
      <c r="D79" s="22"/>
      <c r="E79" s="21"/>
      <c r="F79" s="20"/>
      <c r="G79" s="17"/>
      <c r="H79" s="2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20"/>
      <c r="B80" s="21"/>
      <c r="C80" s="21"/>
      <c r="D80" s="22"/>
      <c r="E80" s="21"/>
      <c r="F80" s="20"/>
      <c r="G80" s="17"/>
      <c r="H80" s="2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20"/>
      <c r="B81" s="21"/>
      <c r="C81" s="21"/>
      <c r="D81" s="22"/>
      <c r="E81" s="21"/>
      <c r="F81" s="20"/>
      <c r="G81" s="17"/>
      <c r="H81" s="2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20"/>
      <c r="B82" s="21"/>
      <c r="C82" s="21"/>
      <c r="D82" s="22"/>
      <c r="E82" s="21"/>
      <c r="F82" s="20"/>
      <c r="G82" s="17"/>
      <c r="H82" s="2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20"/>
      <c r="B83" s="21"/>
      <c r="C83" s="21"/>
      <c r="D83" s="22"/>
      <c r="E83" s="21"/>
      <c r="F83" s="20"/>
      <c r="G83" s="17"/>
      <c r="H83" s="2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20"/>
      <c r="B84" s="21"/>
      <c r="C84" s="21"/>
      <c r="D84" s="22"/>
      <c r="E84" s="21"/>
      <c r="F84" s="20"/>
      <c r="G84" s="17"/>
      <c r="H84" s="2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20"/>
      <c r="B85" s="21"/>
      <c r="C85" s="21"/>
      <c r="D85" s="22"/>
      <c r="E85" s="21"/>
      <c r="F85" s="20"/>
      <c r="G85" s="17"/>
      <c r="H85" s="2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20"/>
      <c r="B86" s="21"/>
      <c r="C86" s="21"/>
      <c r="D86" s="22"/>
      <c r="E86" s="21"/>
      <c r="F86" s="20"/>
      <c r="G86" s="17"/>
      <c r="H86" s="2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20"/>
      <c r="B87" s="21"/>
      <c r="C87" s="21"/>
      <c r="D87" s="22"/>
      <c r="E87" s="21"/>
      <c r="F87" s="20"/>
      <c r="G87" s="17"/>
      <c r="H87" s="2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20"/>
      <c r="B88" s="21"/>
      <c r="C88" s="21"/>
      <c r="D88" s="22"/>
      <c r="E88" s="21"/>
      <c r="F88" s="20"/>
      <c r="G88" s="17"/>
      <c r="H88" s="2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20"/>
      <c r="B89" s="21"/>
      <c r="C89" s="21"/>
      <c r="D89" s="22"/>
      <c r="E89" s="21"/>
      <c r="F89" s="20"/>
      <c r="G89" s="17"/>
      <c r="H89" s="2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20"/>
      <c r="B90" s="21"/>
      <c r="C90" s="21"/>
      <c r="D90" s="22"/>
      <c r="E90" s="21"/>
      <c r="F90" s="20"/>
      <c r="G90" s="17"/>
      <c r="H90" s="2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20"/>
      <c r="B91" s="21"/>
      <c r="C91" s="21"/>
      <c r="D91" s="22"/>
      <c r="E91" s="21"/>
      <c r="F91" s="20"/>
      <c r="G91" s="17"/>
      <c r="H91" s="2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20"/>
      <c r="B92" s="21"/>
      <c r="C92" s="21"/>
      <c r="D92" s="22"/>
      <c r="E92" s="21"/>
      <c r="F92" s="20"/>
      <c r="G92" s="17"/>
      <c r="H92" s="2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20"/>
      <c r="B93" s="21"/>
      <c r="C93" s="21"/>
      <c r="D93" s="22"/>
      <c r="E93" s="21"/>
      <c r="F93" s="20"/>
      <c r="G93" s="17"/>
      <c r="H93" s="2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20"/>
      <c r="B94" s="21"/>
      <c r="C94" s="21"/>
      <c r="D94" s="22"/>
      <c r="E94" s="21"/>
      <c r="F94" s="20"/>
      <c r="G94" s="17"/>
      <c r="H94" s="2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20"/>
      <c r="B95" s="21"/>
      <c r="C95" s="21"/>
      <c r="D95" s="22"/>
      <c r="E95" s="21"/>
      <c r="F95" s="20"/>
      <c r="G95" s="17"/>
      <c r="H95" s="2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20"/>
      <c r="B96" s="21"/>
      <c r="C96" s="21"/>
      <c r="D96" s="22"/>
      <c r="E96" s="21"/>
      <c r="F96" s="20"/>
      <c r="G96" s="17"/>
      <c r="H96" s="2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20"/>
      <c r="B97" s="21"/>
      <c r="C97" s="21"/>
      <c r="D97" s="22"/>
      <c r="E97" s="21"/>
      <c r="F97" s="20"/>
      <c r="G97" s="17"/>
      <c r="H97" s="2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20"/>
      <c r="B98" s="21"/>
      <c r="C98" s="21"/>
      <c r="D98" s="22"/>
      <c r="E98" s="21"/>
      <c r="F98" s="20"/>
      <c r="G98" s="17"/>
      <c r="H98" s="2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20"/>
      <c r="B99" s="21"/>
      <c r="C99" s="21"/>
      <c r="D99" s="22"/>
      <c r="E99" s="21"/>
      <c r="F99" s="20"/>
      <c r="G99" s="17"/>
      <c r="H99" s="2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20"/>
      <c r="B100" s="21"/>
      <c r="C100" s="21"/>
      <c r="D100" s="22"/>
      <c r="E100" s="21"/>
      <c r="F100" s="20"/>
      <c r="G100" s="17"/>
      <c r="H100" s="2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20"/>
      <c r="B101" s="21"/>
      <c r="C101" s="21"/>
      <c r="D101" s="23"/>
      <c r="E101" s="21"/>
      <c r="F101" s="20"/>
      <c r="G101" s="17"/>
      <c r="H101" s="2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20"/>
      <c r="B102" s="21"/>
      <c r="C102" s="21"/>
      <c r="D102" s="23"/>
      <c r="E102" s="21"/>
      <c r="F102" s="20"/>
      <c r="G102" s="17"/>
      <c r="H102" s="2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20"/>
      <c r="B103" s="21"/>
      <c r="C103" s="21"/>
      <c r="D103" s="23"/>
      <c r="E103" s="21"/>
      <c r="F103" s="20"/>
      <c r="G103" s="17"/>
      <c r="H103" s="2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20"/>
      <c r="B104" s="21"/>
      <c r="C104" s="21"/>
      <c r="D104" s="23"/>
      <c r="E104" s="21"/>
      <c r="F104" s="20"/>
      <c r="G104" s="17"/>
      <c r="H104" s="2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20"/>
      <c r="B105" s="21"/>
      <c r="C105" s="21"/>
      <c r="D105" s="23"/>
      <c r="E105" s="21"/>
      <c r="F105" s="20"/>
      <c r="G105" s="17"/>
      <c r="H105" s="2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20"/>
      <c r="B106" s="21"/>
      <c r="C106" s="21"/>
      <c r="D106" s="23"/>
      <c r="E106" s="21"/>
      <c r="F106" s="20"/>
      <c r="G106" s="17"/>
      <c r="H106" s="2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20"/>
      <c r="B107" s="21"/>
      <c r="C107" s="21"/>
      <c r="D107" s="23"/>
      <c r="E107" s="21"/>
      <c r="F107" s="20"/>
      <c r="G107" s="17"/>
      <c r="H107" s="23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20"/>
      <c r="B108" s="21"/>
      <c r="C108" s="21"/>
      <c r="D108" s="23"/>
      <c r="E108" s="21"/>
      <c r="F108" s="20"/>
      <c r="G108" s="17"/>
      <c r="H108" s="23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20"/>
      <c r="B109" s="21"/>
      <c r="C109" s="21"/>
      <c r="D109" s="23"/>
      <c r="E109" s="21"/>
      <c r="F109" s="20"/>
      <c r="G109" s="17"/>
      <c r="H109" s="23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20"/>
      <c r="B110" s="21"/>
      <c r="C110" s="21"/>
      <c r="D110" s="23"/>
      <c r="E110" s="21"/>
      <c r="F110" s="20"/>
      <c r="G110" s="17"/>
      <c r="H110" s="23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20"/>
      <c r="B111" s="21"/>
      <c r="C111" s="21"/>
      <c r="D111" s="23"/>
      <c r="E111" s="21"/>
      <c r="F111" s="20"/>
      <c r="G111" s="17"/>
      <c r="H111" s="23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20"/>
      <c r="B112" s="21"/>
      <c r="C112" s="21"/>
      <c r="D112" s="23"/>
      <c r="E112" s="21"/>
      <c r="F112" s="20"/>
      <c r="G112" s="17"/>
      <c r="H112" s="23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20"/>
      <c r="B113" s="21"/>
      <c r="C113" s="21"/>
      <c r="D113" s="23"/>
      <c r="E113" s="21"/>
      <c r="F113" s="20"/>
      <c r="G113" s="17"/>
      <c r="H113" s="23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20"/>
      <c r="B114" s="21"/>
      <c r="C114" s="21"/>
      <c r="D114" s="23"/>
      <c r="E114" s="21"/>
      <c r="F114" s="20"/>
      <c r="G114" s="17"/>
      <c r="H114" s="23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20"/>
      <c r="B115" s="21"/>
      <c r="C115" s="21"/>
      <c r="D115" s="23"/>
      <c r="E115" s="21"/>
      <c r="F115" s="20"/>
      <c r="G115" s="17"/>
      <c r="H115" s="23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20"/>
      <c r="B116" s="21"/>
      <c r="C116" s="21"/>
      <c r="D116" s="23"/>
      <c r="E116" s="21"/>
      <c r="F116" s="20"/>
      <c r="G116" s="17"/>
      <c r="H116" s="2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20"/>
      <c r="B117" s="21"/>
      <c r="C117" s="21"/>
      <c r="D117" s="23"/>
      <c r="E117" s="21"/>
      <c r="F117" s="20"/>
      <c r="G117" s="17"/>
      <c r="H117" s="2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20"/>
      <c r="B118" s="21"/>
      <c r="C118" s="21"/>
      <c r="D118" s="23"/>
      <c r="E118" s="21"/>
      <c r="F118" s="20"/>
      <c r="G118" s="17"/>
      <c r="H118" s="2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20"/>
      <c r="B119" s="21"/>
      <c r="C119" s="21"/>
      <c r="D119" s="23"/>
      <c r="E119" s="21"/>
      <c r="F119" s="20"/>
      <c r="G119" s="17"/>
      <c r="H119" s="2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20"/>
      <c r="B120" s="21"/>
      <c r="C120" s="21"/>
      <c r="D120" s="23"/>
      <c r="E120" s="21"/>
      <c r="F120" s="20"/>
      <c r="G120" s="17"/>
      <c r="H120" s="2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20"/>
      <c r="B121" s="21"/>
      <c r="C121" s="21"/>
      <c r="D121" s="23"/>
      <c r="E121" s="21"/>
      <c r="F121" s="20"/>
      <c r="G121" s="17"/>
      <c r="H121" s="2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20"/>
      <c r="B122" s="21"/>
      <c r="C122" s="21"/>
      <c r="D122" s="23"/>
      <c r="E122" s="21"/>
      <c r="F122" s="20"/>
      <c r="G122" s="17"/>
      <c r="H122" s="2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20"/>
      <c r="B123" s="21"/>
      <c r="C123" s="21"/>
      <c r="D123" s="23"/>
      <c r="E123" s="21"/>
      <c r="F123" s="20"/>
      <c r="G123" s="17"/>
      <c r="H123" s="2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20"/>
      <c r="B124" s="21"/>
      <c r="C124" s="21"/>
      <c r="D124" s="23"/>
      <c r="E124" s="21"/>
      <c r="F124" s="20"/>
      <c r="G124" s="17"/>
      <c r="H124" s="23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20"/>
      <c r="B125" s="21"/>
      <c r="C125" s="21"/>
      <c r="D125" s="23"/>
      <c r="E125" s="21"/>
      <c r="F125" s="20"/>
      <c r="G125" s="17"/>
      <c r="H125" s="23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20"/>
      <c r="B126" s="21"/>
      <c r="C126" s="21"/>
      <c r="D126" s="23"/>
      <c r="E126" s="21"/>
      <c r="F126" s="20"/>
      <c r="G126" s="17"/>
      <c r="H126" s="23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20"/>
      <c r="B127" s="21"/>
      <c r="C127" s="21"/>
      <c r="D127" s="23"/>
      <c r="E127" s="21"/>
      <c r="F127" s="20"/>
      <c r="G127" s="17"/>
      <c r="H127" s="2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20"/>
      <c r="B128" s="21"/>
      <c r="C128" s="21"/>
      <c r="D128" s="23"/>
      <c r="E128" s="21"/>
      <c r="F128" s="20"/>
      <c r="G128" s="17"/>
      <c r="H128" s="23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20"/>
      <c r="B129" s="21"/>
      <c r="C129" s="21"/>
      <c r="D129" s="23"/>
      <c r="E129" s="21"/>
      <c r="F129" s="20"/>
      <c r="G129" s="17"/>
      <c r="H129" s="23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20"/>
      <c r="B130" s="21"/>
      <c r="C130" s="21"/>
      <c r="D130" s="23"/>
      <c r="E130" s="21"/>
      <c r="F130" s="20"/>
      <c r="G130" s="17"/>
      <c r="H130" s="23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20"/>
      <c r="B131" s="21"/>
      <c r="C131" s="21"/>
      <c r="D131" s="23"/>
      <c r="E131" s="21"/>
      <c r="F131" s="20"/>
      <c r="G131" s="17"/>
      <c r="H131" s="23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20"/>
      <c r="B132" s="21"/>
      <c r="C132" s="21"/>
      <c r="D132" s="23"/>
      <c r="E132" s="21"/>
      <c r="F132" s="20"/>
      <c r="G132" s="17"/>
      <c r="H132" s="23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20"/>
      <c r="B133" s="21"/>
      <c r="C133" s="21"/>
      <c r="D133" s="23"/>
      <c r="E133" s="21"/>
      <c r="F133" s="20"/>
      <c r="G133" s="17"/>
      <c r="H133" s="23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20"/>
      <c r="B134" s="21"/>
      <c r="C134" s="21"/>
      <c r="D134" s="23"/>
      <c r="E134" s="21"/>
      <c r="F134" s="20"/>
      <c r="G134" s="17"/>
      <c r="H134" s="2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20"/>
      <c r="B135" s="21"/>
      <c r="C135" s="21"/>
      <c r="D135" s="23"/>
      <c r="E135" s="21"/>
      <c r="F135" s="20"/>
      <c r="G135" s="17"/>
      <c r="H135" s="23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20"/>
      <c r="B136" s="21"/>
      <c r="C136" s="21"/>
      <c r="D136" s="23"/>
      <c r="E136" s="21"/>
      <c r="F136" s="20"/>
      <c r="G136" s="17"/>
      <c r="H136" s="23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20"/>
      <c r="B137" s="21"/>
      <c r="C137" s="21"/>
      <c r="D137" s="23"/>
      <c r="E137" s="21"/>
      <c r="F137" s="20"/>
      <c r="G137" s="17"/>
      <c r="H137" s="23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20"/>
      <c r="B138" s="21"/>
      <c r="C138" s="21"/>
      <c r="D138" s="23"/>
      <c r="E138" s="21"/>
      <c r="F138" s="20"/>
      <c r="G138" s="17"/>
      <c r="H138" s="23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20"/>
      <c r="B139" s="21"/>
      <c r="C139" s="21"/>
      <c r="D139" s="23"/>
      <c r="E139" s="21"/>
      <c r="F139" s="20"/>
      <c r="G139" s="17"/>
      <c r="H139" s="23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4"/>
      <c r="B140" s="8"/>
      <c r="C140" s="8"/>
      <c r="D140" s="16"/>
      <c r="E140" s="8"/>
      <c r="F140" s="14"/>
      <c r="G140" s="6"/>
      <c r="H140" s="1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4"/>
      <c r="B141" s="8"/>
      <c r="C141" s="8"/>
      <c r="D141" s="16"/>
      <c r="E141" s="8"/>
      <c r="F141" s="14"/>
      <c r="G141" s="6"/>
      <c r="H141" s="1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4"/>
      <c r="B142" s="8"/>
      <c r="C142" s="8"/>
      <c r="D142" s="16"/>
      <c r="E142" s="8"/>
      <c r="F142" s="14"/>
      <c r="G142" s="6"/>
      <c r="H142" s="1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4"/>
      <c r="B143" s="8"/>
      <c r="C143" s="8"/>
      <c r="D143" s="16"/>
      <c r="E143" s="8"/>
      <c r="F143" s="14"/>
      <c r="G143" s="6"/>
      <c r="H143" s="1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4"/>
      <c r="B144" s="8"/>
      <c r="C144" s="8"/>
      <c r="D144" s="16"/>
      <c r="E144" s="8"/>
      <c r="F144" s="14"/>
      <c r="G144" s="6"/>
      <c r="H144" s="1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4"/>
      <c r="B145" s="8"/>
      <c r="C145" s="8"/>
      <c r="D145" s="16"/>
      <c r="E145" s="8"/>
      <c r="F145" s="14"/>
      <c r="G145" s="6"/>
      <c r="H145" s="1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4"/>
      <c r="B146" s="8"/>
      <c r="C146" s="8"/>
      <c r="D146" s="16"/>
      <c r="E146" s="8"/>
      <c r="F146" s="14"/>
      <c r="G146" s="6"/>
      <c r="H146" s="1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4"/>
      <c r="B147" s="8"/>
      <c r="C147" s="8"/>
      <c r="D147" s="16"/>
      <c r="E147" s="8"/>
      <c r="F147" s="14"/>
      <c r="G147" s="6"/>
      <c r="H147" s="1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4"/>
      <c r="B148" s="8"/>
      <c r="C148" s="8"/>
      <c r="D148" s="16"/>
      <c r="E148" s="8"/>
      <c r="F148" s="14"/>
      <c r="G148" s="6"/>
      <c r="H148" s="1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4"/>
      <c r="B149" s="8"/>
      <c r="C149" s="8"/>
      <c r="D149" s="16"/>
      <c r="E149" s="8"/>
      <c r="F149" s="14"/>
      <c r="G149" s="6"/>
      <c r="H149" s="1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4"/>
      <c r="B150" s="8"/>
      <c r="C150" s="8"/>
      <c r="D150" s="16"/>
      <c r="E150" s="8"/>
      <c r="F150" s="14"/>
      <c r="G150" s="6"/>
      <c r="H150" s="1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4"/>
      <c r="B151" s="8"/>
      <c r="C151" s="8"/>
      <c r="D151" s="16"/>
      <c r="E151" s="8"/>
      <c r="F151" s="14"/>
      <c r="G151" s="6"/>
      <c r="H151" s="1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4"/>
      <c r="B152" s="8"/>
      <c r="C152" s="8"/>
      <c r="D152" s="16"/>
      <c r="E152" s="8"/>
      <c r="F152" s="14"/>
      <c r="G152" s="6"/>
      <c r="H152" s="1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4"/>
      <c r="B153" s="8"/>
      <c r="C153" s="8"/>
      <c r="D153" s="16"/>
      <c r="E153" s="8"/>
      <c r="F153" s="14"/>
      <c r="G153" s="6"/>
      <c r="H153" s="1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4"/>
      <c r="B154" s="8"/>
      <c r="C154" s="8"/>
      <c r="D154" s="16"/>
      <c r="E154" s="8"/>
      <c r="F154" s="14"/>
      <c r="G154" s="6"/>
      <c r="H154" s="1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4"/>
      <c r="B155" s="8"/>
      <c r="C155" s="8"/>
      <c r="D155" s="16"/>
      <c r="E155" s="8"/>
      <c r="F155" s="14"/>
      <c r="G155" s="6"/>
      <c r="H155" s="1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4"/>
      <c r="B156" s="8"/>
      <c r="C156" s="8"/>
      <c r="D156" s="16"/>
      <c r="E156" s="8"/>
      <c r="F156" s="14"/>
      <c r="G156" s="6"/>
      <c r="H156" s="1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4"/>
      <c r="B157" s="8"/>
      <c r="C157" s="8"/>
      <c r="D157" s="16"/>
      <c r="E157" s="8"/>
      <c r="F157" s="14"/>
      <c r="G157" s="6"/>
      <c r="H157" s="1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4"/>
      <c r="B158" s="8"/>
      <c r="C158" s="8"/>
      <c r="D158" s="16"/>
      <c r="E158" s="8"/>
      <c r="F158" s="14"/>
      <c r="G158" s="6"/>
      <c r="H158" s="1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4"/>
      <c r="B159" s="8"/>
      <c r="C159" s="8"/>
      <c r="D159" s="16"/>
      <c r="E159" s="8"/>
      <c r="F159" s="14"/>
      <c r="G159" s="6"/>
      <c r="H159" s="1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4"/>
      <c r="B160" s="8"/>
      <c r="C160" s="8"/>
      <c r="D160" s="16"/>
      <c r="E160" s="8"/>
      <c r="F160" s="14"/>
      <c r="G160" s="6"/>
      <c r="H160" s="1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4"/>
      <c r="B161" s="8"/>
      <c r="C161" s="8"/>
      <c r="D161" s="16"/>
      <c r="E161" s="8"/>
      <c r="F161" s="14"/>
      <c r="G161" s="6"/>
      <c r="H161" s="1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4"/>
      <c r="B162" s="8"/>
      <c r="C162" s="8"/>
      <c r="D162" s="16"/>
      <c r="E162" s="8"/>
      <c r="F162" s="14"/>
      <c r="G162" s="6"/>
      <c r="H162" s="1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4"/>
      <c r="B163" s="8"/>
      <c r="C163" s="8"/>
      <c r="D163" s="16"/>
      <c r="E163" s="8"/>
      <c r="F163" s="14"/>
      <c r="G163" s="6"/>
      <c r="H163" s="1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4"/>
      <c r="B164" s="8"/>
      <c r="C164" s="8"/>
      <c r="D164" s="16"/>
      <c r="E164" s="8"/>
      <c r="F164" s="14"/>
      <c r="G164" s="6"/>
      <c r="H164" s="1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4"/>
      <c r="B165" s="8"/>
      <c r="C165" s="8"/>
      <c r="D165" s="16"/>
      <c r="E165" s="8"/>
      <c r="F165" s="14"/>
      <c r="G165" s="6"/>
      <c r="H165" s="1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4"/>
      <c r="B166" s="8"/>
      <c r="C166" s="8"/>
      <c r="D166" s="16"/>
      <c r="E166" s="8"/>
      <c r="F166" s="14"/>
      <c r="G166" s="6"/>
      <c r="H166" s="1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4"/>
      <c r="B167" s="8"/>
      <c r="C167" s="8"/>
      <c r="D167" s="16"/>
      <c r="E167" s="8"/>
      <c r="F167" s="14"/>
      <c r="G167" s="6"/>
      <c r="H167" s="1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4"/>
      <c r="B168" s="8"/>
      <c r="C168" s="8"/>
      <c r="D168" s="16"/>
      <c r="E168" s="8"/>
      <c r="F168" s="14"/>
      <c r="G168" s="6"/>
      <c r="H168" s="1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4"/>
      <c r="B169" s="8"/>
      <c r="C169" s="8"/>
      <c r="D169" s="16"/>
      <c r="E169" s="8"/>
      <c r="F169" s="14"/>
      <c r="G169" s="6"/>
      <c r="H169" s="1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4"/>
      <c r="B170" s="8"/>
      <c r="C170" s="8"/>
      <c r="D170" s="16"/>
      <c r="E170" s="8"/>
      <c r="F170" s="14"/>
      <c r="G170" s="6"/>
      <c r="H170" s="1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4"/>
      <c r="B171" s="8"/>
      <c r="C171" s="8"/>
      <c r="D171" s="16"/>
      <c r="E171" s="8"/>
      <c r="F171" s="14"/>
      <c r="G171" s="6"/>
      <c r="H171" s="1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4"/>
      <c r="B172" s="8"/>
      <c r="C172" s="8"/>
      <c r="D172" s="16"/>
      <c r="E172" s="8"/>
      <c r="F172" s="14"/>
      <c r="G172" s="6"/>
      <c r="H172" s="1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4"/>
      <c r="B173" s="8"/>
      <c r="C173" s="8"/>
      <c r="D173" s="16"/>
      <c r="E173" s="8"/>
      <c r="F173" s="14"/>
      <c r="G173" s="6"/>
      <c r="H173" s="1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4"/>
      <c r="B174" s="8"/>
      <c r="C174" s="8"/>
      <c r="D174" s="16"/>
      <c r="E174" s="8"/>
      <c r="F174" s="14"/>
      <c r="G174" s="6"/>
      <c r="H174" s="1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4"/>
      <c r="B175" s="8"/>
      <c r="C175" s="8"/>
      <c r="D175" s="16"/>
      <c r="E175" s="8"/>
      <c r="F175" s="14"/>
      <c r="G175" s="6"/>
      <c r="H175" s="1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4"/>
      <c r="B176" s="8"/>
      <c r="C176" s="8"/>
      <c r="D176" s="16"/>
      <c r="E176" s="8"/>
      <c r="F176" s="14"/>
      <c r="G176" s="6"/>
      <c r="H176" s="1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4"/>
      <c r="B177" s="8"/>
      <c r="C177" s="8"/>
      <c r="D177" s="16"/>
      <c r="E177" s="8"/>
      <c r="F177" s="14"/>
      <c r="G177" s="6"/>
      <c r="H177" s="1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4"/>
      <c r="B178" s="8"/>
      <c r="C178" s="8"/>
      <c r="D178" s="16"/>
      <c r="E178" s="8"/>
      <c r="F178" s="14"/>
      <c r="G178" s="6"/>
      <c r="H178" s="1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4"/>
      <c r="B179" s="8"/>
      <c r="C179" s="8"/>
      <c r="D179" s="16"/>
      <c r="E179" s="8"/>
      <c r="F179" s="14"/>
      <c r="G179" s="6"/>
      <c r="H179" s="1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4"/>
      <c r="B180" s="8"/>
      <c r="C180" s="8"/>
      <c r="D180" s="16"/>
      <c r="E180" s="8"/>
      <c r="F180" s="14"/>
      <c r="G180" s="6"/>
      <c r="H180" s="1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4"/>
      <c r="B181" s="8"/>
      <c r="C181" s="8"/>
      <c r="D181" s="16"/>
      <c r="E181" s="8"/>
      <c r="F181" s="14"/>
      <c r="G181" s="6"/>
      <c r="H181" s="1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4"/>
      <c r="B182" s="8"/>
      <c r="C182" s="8"/>
      <c r="D182" s="16"/>
      <c r="E182" s="8"/>
      <c r="F182" s="14"/>
      <c r="G182" s="6"/>
      <c r="H182" s="1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4"/>
      <c r="B183" s="8"/>
      <c r="C183" s="8"/>
      <c r="D183" s="16"/>
      <c r="E183" s="8"/>
      <c r="F183" s="14"/>
      <c r="G183" s="6"/>
      <c r="H183" s="1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4"/>
      <c r="B184" s="8"/>
      <c r="C184" s="8"/>
      <c r="D184" s="16"/>
      <c r="E184" s="8"/>
      <c r="F184" s="14"/>
      <c r="G184" s="6"/>
      <c r="H184" s="1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4"/>
      <c r="B185" s="8"/>
      <c r="C185" s="8"/>
      <c r="D185" s="16"/>
      <c r="E185" s="8"/>
      <c r="F185" s="14"/>
      <c r="G185" s="6"/>
      <c r="H185" s="1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4"/>
      <c r="B186" s="8"/>
      <c r="C186" s="8"/>
      <c r="D186" s="16"/>
      <c r="E186" s="8"/>
      <c r="F186" s="14"/>
      <c r="G186" s="6"/>
      <c r="H186" s="1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4"/>
      <c r="B187" s="8"/>
      <c r="C187" s="8"/>
      <c r="D187" s="16"/>
      <c r="E187" s="8"/>
      <c r="F187" s="14"/>
      <c r="G187" s="6"/>
      <c r="H187" s="1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4"/>
      <c r="B188" s="8"/>
      <c r="C188" s="8"/>
      <c r="D188" s="16"/>
      <c r="E188" s="8"/>
      <c r="F188" s="14"/>
      <c r="G188" s="6"/>
      <c r="H188" s="1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4"/>
      <c r="B189" s="8"/>
      <c r="C189" s="8"/>
      <c r="D189" s="16"/>
      <c r="E189" s="8"/>
      <c r="F189" s="14"/>
      <c r="G189" s="6"/>
      <c r="H189" s="1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4"/>
      <c r="B190" s="8"/>
      <c r="C190" s="8"/>
      <c r="D190" s="16"/>
      <c r="E190" s="8"/>
      <c r="F190" s="14"/>
      <c r="G190" s="6"/>
      <c r="H190" s="1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4"/>
      <c r="B191" s="8"/>
      <c r="C191" s="8"/>
      <c r="D191" s="16"/>
      <c r="E191" s="8"/>
      <c r="F191" s="14"/>
      <c r="G191" s="6"/>
      <c r="H191" s="1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4"/>
      <c r="B192" s="8"/>
      <c r="C192" s="8"/>
      <c r="D192" s="16"/>
      <c r="E192" s="8"/>
      <c r="F192" s="14"/>
      <c r="G192" s="6"/>
      <c r="H192" s="1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4"/>
      <c r="B193" s="8"/>
      <c r="C193" s="8"/>
      <c r="D193" s="16"/>
      <c r="E193" s="8"/>
      <c r="F193" s="14"/>
      <c r="G193" s="6"/>
      <c r="H193" s="1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4"/>
      <c r="B194" s="8"/>
      <c r="C194" s="8"/>
      <c r="D194" s="16"/>
      <c r="E194" s="8"/>
      <c r="F194" s="14"/>
      <c r="G194" s="6"/>
      <c r="H194" s="1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4"/>
      <c r="B195" s="8"/>
      <c r="C195" s="8"/>
      <c r="D195" s="16"/>
      <c r="E195" s="8"/>
      <c r="F195" s="14"/>
      <c r="G195" s="6"/>
      <c r="H195" s="1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4"/>
      <c r="B196" s="8"/>
      <c r="C196" s="8"/>
      <c r="D196" s="16"/>
      <c r="E196" s="8"/>
      <c r="F196" s="14"/>
      <c r="G196" s="6"/>
      <c r="H196" s="1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4"/>
      <c r="B197" s="8"/>
      <c r="C197" s="8"/>
      <c r="D197" s="16"/>
      <c r="E197" s="8"/>
      <c r="F197" s="14"/>
      <c r="G197" s="6"/>
      <c r="H197" s="1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4"/>
      <c r="B198" s="8"/>
      <c r="C198" s="8"/>
      <c r="D198" s="16"/>
      <c r="E198" s="8"/>
      <c r="F198" s="14"/>
      <c r="G198" s="6"/>
      <c r="H198" s="1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4"/>
      <c r="B199" s="8"/>
      <c r="C199" s="8"/>
      <c r="D199" s="16"/>
      <c r="E199" s="8"/>
      <c r="F199" s="14"/>
      <c r="G199" s="6"/>
      <c r="H199" s="1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4"/>
      <c r="B200" s="8"/>
      <c r="C200" s="8"/>
      <c r="D200" s="16"/>
      <c r="E200" s="8"/>
      <c r="F200" s="14"/>
      <c r="G200" s="6"/>
      <c r="H200" s="1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4"/>
      <c r="B201" s="8"/>
      <c r="C201" s="8"/>
      <c r="D201" s="16"/>
      <c r="E201" s="8"/>
      <c r="F201" s="14"/>
      <c r="G201" s="6"/>
      <c r="H201" s="1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4"/>
      <c r="B202" s="8"/>
      <c r="C202" s="8"/>
      <c r="D202" s="16"/>
      <c r="E202" s="8"/>
      <c r="F202" s="14"/>
      <c r="G202" s="6"/>
      <c r="H202" s="1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4"/>
      <c r="B203" s="8"/>
      <c r="C203" s="8"/>
      <c r="D203" s="16"/>
      <c r="E203" s="8"/>
      <c r="F203" s="14"/>
      <c r="G203" s="6"/>
      <c r="H203" s="1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4"/>
      <c r="B204" s="8"/>
      <c r="C204" s="8"/>
      <c r="D204" s="16"/>
      <c r="E204" s="8"/>
      <c r="F204" s="14"/>
      <c r="G204" s="6"/>
      <c r="H204" s="1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4"/>
      <c r="B205" s="8"/>
      <c r="C205" s="8"/>
      <c r="D205" s="16"/>
      <c r="E205" s="8"/>
      <c r="F205" s="14"/>
      <c r="G205" s="6"/>
      <c r="H205" s="1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4"/>
      <c r="B206" s="8"/>
      <c r="C206" s="8"/>
      <c r="D206" s="16"/>
      <c r="E206" s="8"/>
      <c r="F206" s="14"/>
      <c r="G206" s="6"/>
      <c r="H206" s="1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4"/>
      <c r="B207" s="8"/>
      <c r="C207" s="8"/>
      <c r="D207" s="16"/>
      <c r="E207" s="8"/>
      <c r="F207" s="14"/>
      <c r="G207" s="6"/>
      <c r="H207" s="1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4"/>
      <c r="B208" s="8"/>
      <c r="C208" s="8"/>
      <c r="D208" s="16"/>
      <c r="E208" s="8"/>
      <c r="F208" s="14"/>
      <c r="G208" s="6"/>
      <c r="H208" s="1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4"/>
      <c r="B209" s="8"/>
      <c r="C209" s="8"/>
      <c r="D209" s="16"/>
      <c r="E209" s="8"/>
      <c r="F209" s="14"/>
      <c r="G209" s="6"/>
      <c r="H209" s="1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4"/>
      <c r="B210" s="8"/>
      <c r="C210" s="8"/>
      <c r="D210" s="16"/>
      <c r="E210" s="8"/>
      <c r="F210" s="14"/>
      <c r="G210" s="6"/>
      <c r="H210" s="1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4"/>
      <c r="B211" s="8"/>
      <c r="C211" s="8"/>
      <c r="D211" s="16"/>
      <c r="E211" s="8"/>
      <c r="F211" s="14"/>
      <c r="G211" s="6"/>
      <c r="H211" s="1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4"/>
      <c r="B212" s="8"/>
      <c r="C212" s="8"/>
      <c r="D212" s="16"/>
      <c r="E212" s="8"/>
      <c r="F212" s="14"/>
      <c r="G212" s="6"/>
      <c r="H212" s="1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4"/>
      <c r="B213" s="8"/>
      <c r="C213" s="8"/>
      <c r="D213" s="16"/>
      <c r="E213" s="8"/>
      <c r="F213" s="14"/>
      <c r="G213" s="6"/>
      <c r="H213" s="1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4"/>
      <c r="B214" s="8"/>
      <c r="C214" s="8"/>
      <c r="D214" s="16"/>
      <c r="E214" s="8"/>
      <c r="F214" s="14"/>
      <c r="G214" s="6"/>
      <c r="H214" s="1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4"/>
      <c r="B215" s="8"/>
      <c r="C215" s="8"/>
      <c r="D215" s="16"/>
      <c r="E215" s="8"/>
      <c r="F215" s="14"/>
      <c r="G215" s="6"/>
      <c r="H215" s="1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4"/>
      <c r="B216" s="8"/>
      <c r="C216" s="8"/>
      <c r="D216" s="16"/>
      <c r="E216" s="8"/>
      <c r="F216" s="14"/>
      <c r="G216" s="6"/>
      <c r="H216" s="1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4"/>
      <c r="B217" s="8"/>
      <c r="C217" s="8"/>
      <c r="D217" s="16"/>
      <c r="E217" s="8"/>
      <c r="F217" s="14"/>
      <c r="G217" s="6"/>
      <c r="H217" s="1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4"/>
      <c r="B218" s="8"/>
      <c r="C218" s="8"/>
      <c r="D218" s="16"/>
      <c r="E218" s="8"/>
      <c r="F218" s="14"/>
      <c r="G218" s="6"/>
      <c r="H218" s="1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4"/>
      <c r="B219" s="8"/>
      <c r="C219" s="8"/>
      <c r="D219" s="16"/>
      <c r="E219" s="8"/>
      <c r="F219" s="14"/>
      <c r="G219" s="6"/>
      <c r="H219" s="1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4"/>
      <c r="B220" s="8"/>
      <c r="C220" s="8"/>
      <c r="D220" s="16"/>
      <c r="E220" s="8"/>
      <c r="F220" s="14"/>
      <c r="G220" s="6"/>
      <c r="H220" s="1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4"/>
      <c r="B221" s="8"/>
      <c r="C221" s="8"/>
      <c r="D221" s="16"/>
      <c r="E221" s="8"/>
      <c r="F221" s="14"/>
      <c r="G221" s="6"/>
      <c r="H221" s="1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4"/>
      <c r="B222" s="8"/>
      <c r="C222" s="8"/>
      <c r="D222" s="16"/>
      <c r="E222" s="8"/>
      <c r="F222" s="14"/>
      <c r="G222" s="6"/>
      <c r="H222" s="1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4"/>
      <c r="B223" s="8"/>
      <c r="C223" s="8"/>
      <c r="D223" s="16"/>
      <c r="E223" s="8"/>
      <c r="F223" s="14"/>
      <c r="G223" s="6"/>
      <c r="H223" s="1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4"/>
      <c r="B224" s="8"/>
      <c r="C224" s="8"/>
      <c r="D224" s="16"/>
      <c r="E224" s="8"/>
      <c r="F224" s="14"/>
      <c r="G224" s="6"/>
      <c r="H224" s="1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4"/>
      <c r="B225" s="8"/>
      <c r="C225" s="8"/>
      <c r="D225" s="16"/>
      <c r="E225" s="8"/>
      <c r="F225" s="14"/>
      <c r="G225" s="6"/>
      <c r="H225" s="1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4"/>
      <c r="B226" s="8"/>
      <c r="C226" s="8"/>
      <c r="D226" s="16"/>
      <c r="E226" s="8"/>
      <c r="F226" s="14"/>
      <c r="G226" s="6"/>
      <c r="H226" s="1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4"/>
      <c r="B227" s="8"/>
      <c r="C227" s="8"/>
      <c r="D227" s="16"/>
      <c r="E227" s="8"/>
      <c r="F227" s="14"/>
      <c r="G227" s="6"/>
      <c r="H227" s="1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4"/>
      <c r="B228" s="8"/>
      <c r="C228" s="8"/>
      <c r="D228" s="16"/>
      <c r="E228" s="8"/>
      <c r="F228" s="14"/>
      <c r="G228" s="6"/>
      <c r="H228" s="1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4"/>
      <c r="B229" s="8"/>
      <c r="C229" s="8"/>
      <c r="D229" s="16"/>
      <c r="E229" s="8"/>
      <c r="F229" s="14"/>
      <c r="G229" s="6"/>
      <c r="H229" s="1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4"/>
      <c r="B230" s="8"/>
      <c r="C230" s="8"/>
      <c r="D230" s="16"/>
      <c r="E230" s="8"/>
      <c r="F230" s="14"/>
      <c r="G230" s="6"/>
      <c r="H230" s="1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4"/>
      <c r="B231" s="8"/>
      <c r="C231" s="8"/>
      <c r="D231" s="16"/>
      <c r="E231" s="8"/>
      <c r="F231" s="14"/>
      <c r="G231" s="6"/>
      <c r="H231" s="1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4"/>
      <c r="B232" s="8"/>
      <c r="C232" s="8"/>
      <c r="D232" s="16"/>
      <c r="E232" s="8"/>
      <c r="F232" s="14"/>
      <c r="G232" s="6"/>
      <c r="H232" s="1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4"/>
      <c r="B233" s="8"/>
      <c r="C233" s="8"/>
      <c r="D233" s="16"/>
      <c r="E233" s="8"/>
      <c r="F233" s="14"/>
      <c r="G233" s="6"/>
      <c r="H233" s="1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4"/>
      <c r="B234" s="8"/>
      <c r="C234" s="8"/>
      <c r="D234" s="16"/>
      <c r="E234" s="8"/>
      <c r="F234" s="14"/>
      <c r="G234" s="6"/>
      <c r="H234" s="1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4"/>
      <c r="B235" s="8"/>
      <c r="C235" s="8"/>
      <c r="D235" s="16"/>
      <c r="E235" s="8"/>
      <c r="F235" s="14"/>
      <c r="G235" s="6"/>
      <c r="H235" s="1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4"/>
      <c r="B236" s="8"/>
      <c r="C236" s="8"/>
      <c r="D236" s="16"/>
      <c r="E236" s="8"/>
      <c r="F236" s="14"/>
      <c r="G236" s="6"/>
      <c r="H236" s="1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4"/>
      <c r="B237" s="8"/>
      <c r="C237" s="8"/>
      <c r="D237" s="16"/>
      <c r="E237" s="8"/>
      <c r="F237" s="14"/>
      <c r="G237" s="6"/>
      <c r="H237" s="1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4"/>
      <c r="B238" s="8"/>
      <c r="C238" s="8"/>
      <c r="D238" s="16"/>
      <c r="E238" s="8"/>
      <c r="F238" s="14"/>
      <c r="G238" s="6"/>
      <c r="H238" s="1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4"/>
      <c r="B239" s="8"/>
      <c r="C239" s="8"/>
      <c r="D239" s="16"/>
      <c r="E239" s="8"/>
      <c r="F239" s="14"/>
      <c r="G239" s="6"/>
      <c r="H239" s="1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4"/>
      <c r="B240" s="8"/>
      <c r="C240" s="8"/>
      <c r="D240" s="16"/>
      <c r="E240" s="8"/>
      <c r="F240" s="14"/>
      <c r="G240" s="6"/>
      <c r="H240" s="1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4"/>
      <c r="B241" s="8"/>
      <c r="C241" s="8"/>
      <c r="D241" s="16"/>
      <c r="E241" s="8"/>
      <c r="F241" s="14"/>
      <c r="G241" s="6"/>
      <c r="H241" s="1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4"/>
      <c r="B242" s="8"/>
      <c r="C242" s="8"/>
      <c r="D242" s="16"/>
      <c r="E242" s="8"/>
      <c r="F242" s="14"/>
      <c r="G242" s="6"/>
      <c r="H242" s="1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4"/>
      <c r="B243" s="8"/>
      <c r="C243" s="8"/>
      <c r="D243" s="16"/>
      <c r="E243" s="8"/>
      <c r="F243" s="14"/>
      <c r="G243" s="6"/>
      <c r="H243" s="1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4"/>
      <c r="B244" s="8"/>
      <c r="C244" s="8"/>
      <c r="D244" s="16"/>
      <c r="E244" s="8"/>
      <c r="F244" s="14"/>
      <c r="G244" s="6"/>
      <c r="H244" s="1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4"/>
      <c r="B245" s="8"/>
      <c r="C245" s="8"/>
      <c r="D245" s="16"/>
      <c r="E245" s="8"/>
      <c r="F245" s="14"/>
      <c r="G245" s="6"/>
      <c r="H245" s="1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4"/>
      <c r="B246" s="8"/>
      <c r="C246" s="8"/>
      <c r="D246" s="16"/>
      <c r="E246" s="8"/>
      <c r="F246" s="14"/>
      <c r="G246" s="6"/>
      <c r="H246" s="1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4"/>
      <c r="B247" s="8"/>
      <c r="C247" s="8"/>
      <c r="D247" s="16"/>
      <c r="E247" s="8"/>
      <c r="F247" s="14"/>
      <c r="G247" s="6"/>
      <c r="H247" s="1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4"/>
      <c r="B248" s="8"/>
      <c r="C248" s="8"/>
      <c r="D248" s="16"/>
      <c r="E248" s="8"/>
      <c r="F248" s="14"/>
      <c r="G248" s="6"/>
      <c r="H248" s="1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7"/>
      <c r="B249" s="7"/>
      <c r="C249" s="7"/>
      <c r="D249" s="7"/>
      <c r="E249" s="7"/>
      <c r="F249" s="7"/>
      <c r="G249" s="13"/>
      <c r="H249" s="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7"/>
      <c r="B250" s="7"/>
      <c r="C250" s="7"/>
      <c r="D250" s="7"/>
      <c r="E250" s="7"/>
      <c r="F250" s="7"/>
      <c r="G250" s="13"/>
      <c r="H250" s="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7"/>
      <c r="B251" s="7"/>
      <c r="C251" s="7"/>
      <c r="D251" s="7"/>
      <c r="E251" s="7"/>
      <c r="F251" s="7"/>
      <c r="G251" s="13"/>
      <c r="H251" s="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7"/>
      <c r="B252" s="7"/>
      <c r="C252" s="7"/>
      <c r="D252" s="7"/>
      <c r="E252" s="7"/>
      <c r="F252" s="7"/>
      <c r="G252" s="13"/>
      <c r="H252" s="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7"/>
      <c r="B253" s="7"/>
      <c r="C253" s="7"/>
      <c r="D253" s="7"/>
      <c r="E253" s="7"/>
      <c r="F253" s="7"/>
      <c r="G253" s="13"/>
      <c r="H253" s="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7"/>
      <c r="B254" s="7"/>
      <c r="C254" s="7"/>
      <c r="D254" s="7"/>
      <c r="E254" s="7"/>
      <c r="F254" s="7"/>
      <c r="G254" s="13"/>
      <c r="H254" s="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7"/>
      <c r="B255" s="7"/>
      <c r="C255" s="7"/>
      <c r="D255" s="7"/>
      <c r="E255" s="7"/>
      <c r="F255" s="7"/>
      <c r="G255" s="13"/>
      <c r="H255" s="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7"/>
      <c r="B256" s="7"/>
      <c r="C256" s="7"/>
      <c r="D256" s="7"/>
      <c r="E256" s="7"/>
      <c r="F256" s="7"/>
      <c r="G256" s="13"/>
      <c r="H256" s="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7"/>
      <c r="B257" s="7"/>
      <c r="C257" s="7"/>
      <c r="D257" s="7"/>
      <c r="E257" s="7"/>
      <c r="F257" s="7"/>
      <c r="G257" s="13"/>
      <c r="H257" s="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7"/>
      <c r="B258" s="7"/>
      <c r="C258" s="7"/>
      <c r="D258" s="7"/>
      <c r="E258" s="7"/>
      <c r="F258" s="7"/>
      <c r="G258" s="13"/>
      <c r="H258" s="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7"/>
      <c r="B259" s="7"/>
      <c r="C259" s="7"/>
      <c r="D259" s="7"/>
      <c r="E259" s="7"/>
      <c r="F259" s="7"/>
      <c r="G259" s="13"/>
      <c r="H259" s="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7"/>
      <c r="B260" s="7"/>
      <c r="C260" s="7"/>
      <c r="D260" s="7"/>
      <c r="E260" s="7"/>
      <c r="F260" s="7"/>
      <c r="G260" s="13"/>
      <c r="H260" s="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7"/>
      <c r="B261" s="7"/>
      <c r="C261" s="7"/>
      <c r="D261" s="7"/>
      <c r="E261" s="7"/>
      <c r="F261" s="7"/>
      <c r="G261" s="13"/>
      <c r="H261" s="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7"/>
      <c r="B262" s="7"/>
      <c r="C262" s="7"/>
      <c r="D262" s="7"/>
      <c r="E262" s="7"/>
      <c r="F262" s="7"/>
      <c r="G262" s="13"/>
      <c r="H262" s="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7"/>
      <c r="B263" s="7"/>
      <c r="C263" s="7"/>
      <c r="D263" s="7"/>
      <c r="E263" s="7"/>
      <c r="F263" s="7"/>
      <c r="G263" s="13"/>
      <c r="H263" s="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7"/>
      <c r="B264" s="7"/>
      <c r="C264" s="7"/>
      <c r="D264" s="7"/>
      <c r="E264" s="7"/>
      <c r="F264" s="7"/>
      <c r="G264" s="13"/>
      <c r="H264" s="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7"/>
      <c r="B265" s="7"/>
      <c r="C265" s="7"/>
      <c r="D265" s="7"/>
      <c r="E265" s="7"/>
      <c r="F265" s="7"/>
      <c r="G265" s="13"/>
      <c r="H265" s="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7"/>
      <c r="B266" s="7"/>
      <c r="C266" s="7"/>
      <c r="D266" s="7"/>
      <c r="E266" s="7"/>
      <c r="F266" s="7"/>
      <c r="G266" s="13"/>
      <c r="H266" s="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7"/>
      <c r="B267" s="7"/>
      <c r="C267" s="7"/>
      <c r="D267" s="7"/>
      <c r="E267" s="7"/>
      <c r="F267" s="7"/>
      <c r="G267" s="13"/>
      <c r="H267" s="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7"/>
      <c r="B268" s="7"/>
      <c r="C268" s="7"/>
      <c r="D268" s="7"/>
      <c r="E268" s="7"/>
      <c r="F268" s="7"/>
      <c r="G268" s="13"/>
      <c r="H268" s="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7"/>
      <c r="B269" s="7"/>
      <c r="C269" s="7"/>
      <c r="D269" s="7"/>
      <c r="E269" s="7"/>
      <c r="F269" s="7"/>
      <c r="G269" s="13"/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7"/>
      <c r="B270" s="7"/>
      <c r="C270" s="7"/>
      <c r="D270" s="7"/>
      <c r="E270" s="7"/>
      <c r="F270" s="7"/>
      <c r="G270" s="13"/>
      <c r="H270" s="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7"/>
      <c r="B271" s="7"/>
      <c r="C271" s="7"/>
      <c r="D271" s="7"/>
      <c r="E271" s="7"/>
      <c r="F271" s="7"/>
      <c r="G271" s="13"/>
      <c r="H271" s="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7"/>
      <c r="B272" s="7"/>
      <c r="C272" s="7"/>
      <c r="D272" s="7"/>
      <c r="E272" s="7"/>
      <c r="F272" s="7"/>
      <c r="G272" s="13"/>
      <c r="H272" s="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7"/>
      <c r="B273" s="7"/>
      <c r="C273" s="7"/>
      <c r="D273" s="7"/>
      <c r="E273" s="7"/>
      <c r="F273" s="7"/>
      <c r="G273" s="13"/>
      <c r="H273" s="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7"/>
      <c r="B274" s="7"/>
      <c r="C274" s="7"/>
      <c r="D274" s="7"/>
      <c r="E274" s="7"/>
      <c r="F274" s="7"/>
      <c r="G274" s="13"/>
      <c r="H274" s="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7"/>
      <c r="B275" s="7"/>
      <c r="C275" s="7"/>
      <c r="D275" s="7"/>
      <c r="E275" s="7"/>
      <c r="F275" s="7"/>
      <c r="G275" s="13"/>
      <c r="H275" s="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7"/>
      <c r="B276" s="7"/>
      <c r="C276" s="7"/>
      <c r="D276" s="7"/>
      <c r="E276" s="7"/>
      <c r="F276" s="7"/>
      <c r="G276" s="13"/>
      <c r="H276" s="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7"/>
      <c r="B277" s="7"/>
      <c r="C277" s="7"/>
      <c r="D277" s="7"/>
      <c r="E277" s="7"/>
      <c r="F277" s="7"/>
      <c r="G277" s="13"/>
      <c r="H277" s="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7"/>
      <c r="B278" s="7"/>
      <c r="C278" s="7"/>
      <c r="D278" s="7"/>
      <c r="E278" s="7"/>
      <c r="F278" s="7"/>
      <c r="G278" s="13"/>
      <c r="H278" s="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7"/>
      <c r="B279" s="7"/>
      <c r="C279" s="7"/>
      <c r="D279" s="7"/>
      <c r="E279" s="7"/>
      <c r="F279" s="7"/>
      <c r="G279" s="13"/>
      <c r="H279" s="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7"/>
      <c r="B280" s="7"/>
      <c r="C280" s="7"/>
      <c r="D280" s="7"/>
      <c r="E280" s="7"/>
      <c r="F280" s="7"/>
      <c r="G280" s="13"/>
      <c r="H280" s="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7"/>
      <c r="B281" s="7"/>
      <c r="C281" s="7"/>
      <c r="D281" s="7"/>
      <c r="E281" s="7"/>
      <c r="F281" s="7"/>
      <c r="G281" s="13"/>
      <c r="H281" s="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7"/>
      <c r="B282" s="7"/>
      <c r="C282" s="7"/>
      <c r="D282" s="7"/>
      <c r="E282" s="7"/>
      <c r="F282" s="7"/>
      <c r="G282" s="13"/>
      <c r="H282" s="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7"/>
      <c r="B283" s="7"/>
      <c r="C283" s="7"/>
      <c r="D283" s="7"/>
      <c r="E283" s="7"/>
      <c r="F283" s="7"/>
      <c r="G283" s="13"/>
      <c r="H283" s="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7"/>
      <c r="B284" s="7"/>
      <c r="C284" s="7"/>
      <c r="D284" s="7"/>
      <c r="E284" s="7"/>
      <c r="F284" s="7"/>
      <c r="G284" s="13"/>
      <c r="H284" s="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7"/>
      <c r="B285" s="7"/>
      <c r="C285" s="7"/>
      <c r="D285" s="7"/>
      <c r="E285" s="7"/>
      <c r="F285" s="7"/>
      <c r="G285" s="13"/>
      <c r="H285" s="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7"/>
      <c r="B286" s="7"/>
      <c r="C286" s="7"/>
      <c r="D286" s="7"/>
      <c r="E286" s="7"/>
      <c r="F286" s="7"/>
      <c r="G286" s="13"/>
      <c r="H286" s="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7"/>
      <c r="B287" s="7"/>
      <c r="C287" s="7"/>
      <c r="D287" s="7"/>
      <c r="E287" s="7"/>
      <c r="F287" s="7"/>
      <c r="G287" s="13"/>
      <c r="H287" s="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7"/>
      <c r="B288" s="7"/>
      <c r="C288" s="7"/>
      <c r="D288" s="7"/>
      <c r="E288" s="7"/>
      <c r="F288" s="7"/>
      <c r="G288" s="13"/>
      <c r="H288" s="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7"/>
      <c r="B289" s="7"/>
      <c r="C289" s="7"/>
      <c r="D289" s="7"/>
      <c r="E289" s="7"/>
      <c r="F289" s="7"/>
      <c r="G289" s="13"/>
      <c r="H289" s="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7"/>
      <c r="B290" s="7"/>
      <c r="C290" s="7"/>
      <c r="D290" s="7"/>
      <c r="E290" s="7"/>
      <c r="F290" s="7"/>
      <c r="G290" s="13"/>
      <c r="H290" s="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7"/>
      <c r="B291" s="7"/>
      <c r="C291" s="7"/>
      <c r="D291" s="7"/>
      <c r="E291" s="7"/>
      <c r="F291" s="7"/>
      <c r="G291" s="13"/>
      <c r="H291" s="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7"/>
      <c r="B292" s="7"/>
      <c r="C292" s="7"/>
      <c r="D292" s="7"/>
      <c r="E292" s="7"/>
      <c r="F292" s="7"/>
      <c r="G292" s="13"/>
      <c r="H292" s="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7"/>
      <c r="B293" s="7"/>
      <c r="C293" s="7"/>
      <c r="D293" s="7"/>
      <c r="E293" s="7"/>
      <c r="F293" s="7"/>
      <c r="G293" s="13"/>
      <c r="H293" s="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7"/>
      <c r="B294" s="7"/>
      <c r="C294" s="7"/>
      <c r="D294" s="7"/>
      <c r="E294" s="7"/>
      <c r="F294" s="7"/>
      <c r="G294" s="13"/>
      <c r="H294" s="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7"/>
      <c r="B295" s="7"/>
      <c r="C295" s="7"/>
      <c r="D295" s="7"/>
      <c r="E295" s="7"/>
      <c r="F295" s="7"/>
      <c r="G295" s="13"/>
      <c r="H295" s="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7"/>
      <c r="B296" s="7"/>
      <c r="C296" s="7"/>
      <c r="D296" s="7"/>
      <c r="E296" s="7"/>
      <c r="F296" s="7"/>
      <c r="G296" s="13"/>
      <c r="H296" s="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7"/>
      <c r="B297" s="7"/>
      <c r="C297" s="7"/>
      <c r="D297" s="7"/>
      <c r="E297" s="7"/>
      <c r="F297" s="7"/>
      <c r="G297" s="13"/>
      <c r="H297" s="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7"/>
      <c r="B298" s="7"/>
      <c r="C298" s="7"/>
      <c r="D298" s="7"/>
      <c r="E298" s="7"/>
      <c r="F298" s="7"/>
      <c r="G298" s="13"/>
      <c r="H298" s="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7"/>
      <c r="B299" s="7"/>
      <c r="C299" s="7"/>
      <c r="D299" s="7"/>
      <c r="E299" s="7"/>
      <c r="F299" s="7"/>
      <c r="G299" s="13"/>
      <c r="H299" s="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7"/>
      <c r="B300" s="7"/>
      <c r="C300" s="7"/>
      <c r="D300" s="7"/>
      <c r="E300" s="7"/>
      <c r="F300" s="7"/>
      <c r="G300" s="13"/>
      <c r="H300" s="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7"/>
      <c r="B301" s="7"/>
      <c r="C301" s="7"/>
      <c r="D301" s="7"/>
      <c r="E301" s="7"/>
      <c r="F301" s="7"/>
      <c r="G301" s="13"/>
      <c r="H301" s="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7"/>
      <c r="B302" s="7"/>
      <c r="C302" s="7"/>
      <c r="D302" s="7"/>
      <c r="E302" s="7"/>
      <c r="F302" s="7"/>
      <c r="G302" s="13"/>
      <c r="H302" s="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7"/>
      <c r="B303" s="7"/>
      <c r="C303" s="7"/>
      <c r="D303" s="7"/>
      <c r="E303" s="7"/>
      <c r="F303" s="7"/>
      <c r="G303" s="13"/>
      <c r="H303" s="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7"/>
      <c r="B304" s="7"/>
      <c r="C304" s="7"/>
      <c r="D304" s="7"/>
      <c r="E304" s="7"/>
      <c r="F304" s="7"/>
      <c r="G304" s="13"/>
      <c r="H304" s="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7"/>
      <c r="B305" s="7"/>
      <c r="C305" s="7"/>
      <c r="D305" s="7"/>
      <c r="E305" s="7"/>
      <c r="F305" s="7"/>
      <c r="G305" s="13"/>
      <c r="H305" s="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7"/>
      <c r="B306" s="7"/>
      <c r="C306" s="7"/>
      <c r="D306" s="7"/>
      <c r="E306" s="7"/>
      <c r="F306" s="7"/>
      <c r="G306" s="13"/>
      <c r="H306" s="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7"/>
      <c r="B307" s="7"/>
      <c r="C307" s="7"/>
      <c r="D307" s="7"/>
      <c r="E307" s="7"/>
      <c r="F307" s="7"/>
      <c r="G307" s="13"/>
      <c r="H307" s="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7"/>
      <c r="B308" s="7"/>
      <c r="C308" s="7"/>
      <c r="D308" s="7"/>
      <c r="E308" s="7"/>
      <c r="F308" s="7"/>
      <c r="G308" s="13"/>
      <c r="H308" s="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7"/>
      <c r="B309" s="7"/>
      <c r="C309" s="7"/>
      <c r="D309" s="7"/>
      <c r="E309" s="7"/>
      <c r="F309" s="7"/>
      <c r="G309" s="13"/>
      <c r="H309" s="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7"/>
      <c r="B310" s="7"/>
      <c r="C310" s="7"/>
      <c r="D310" s="7"/>
      <c r="E310" s="7"/>
      <c r="F310" s="7"/>
      <c r="G310" s="13"/>
      <c r="H310" s="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7"/>
      <c r="B311" s="7"/>
      <c r="C311" s="7"/>
      <c r="D311" s="7"/>
      <c r="E311" s="7"/>
      <c r="F311" s="7"/>
      <c r="G311" s="13"/>
      <c r="H311" s="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7"/>
      <c r="B312" s="7"/>
      <c r="C312" s="7"/>
      <c r="D312" s="7"/>
      <c r="E312" s="7"/>
      <c r="F312" s="7"/>
      <c r="G312" s="13"/>
      <c r="H312" s="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7"/>
      <c r="B313" s="7"/>
      <c r="C313" s="7"/>
      <c r="D313" s="7"/>
      <c r="E313" s="7"/>
      <c r="F313" s="7"/>
      <c r="G313" s="13"/>
      <c r="H313" s="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7"/>
      <c r="B314" s="7"/>
      <c r="C314" s="7"/>
      <c r="D314" s="7"/>
      <c r="E314" s="7"/>
      <c r="F314" s="7"/>
      <c r="G314" s="13"/>
      <c r="H314" s="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7"/>
      <c r="B315" s="7"/>
      <c r="C315" s="7"/>
      <c r="D315" s="7"/>
      <c r="E315" s="7"/>
      <c r="F315" s="7"/>
      <c r="G315" s="13"/>
      <c r="H315" s="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7"/>
      <c r="B316" s="7"/>
      <c r="C316" s="7"/>
      <c r="D316" s="7"/>
      <c r="E316" s="7"/>
      <c r="F316" s="7"/>
      <c r="G316" s="13"/>
      <c r="H316" s="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7"/>
      <c r="B317" s="7"/>
      <c r="C317" s="7"/>
      <c r="D317" s="7"/>
      <c r="E317" s="7"/>
      <c r="F317" s="7"/>
      <c r="G317" s="13"/>
      <c r="H317" s="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7"/>
      <c r="B318" s="7"/>
      <c r="C318" s="7"/>
      <c r="D318" s="7"/>
      <c r="E318" s="7"/>
      <c r="F318" s="7"/>
      <c r="G318" s="13"/>
      <c r="H318" s="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7"/>
      <c r="B319" s="7"/>
      <c r="C319" s="7"/>
      <c r="D319" s="7"/>
      <c r="E319" s="7"/>
      <c r="F319" s="7"/>
      <c r="G319" s="13"/>
      <c r="H319" s="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7"/>
      <c r="B320" s="7"/>
      <c r="C320" s="7"/>
      <c r="D320" s="7"/>
      <c r="E320" s="7"/>
      <c r="F320" s="7"/>
      <c r="G320" s="13"/>
      <c r="H320" s="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7"/>
      <c r="B321" s="7"/>
      <c r="C321" s="7"/>
      <c r="D321" s="7"/>
      <c r="E321" s="7"/>
      <c r="F321" s="7"/>
      <c r="G321" s="13"/>
      <c r="H321" s="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7"/>
      <c r="B322" s="7"/>
      <c r="C322" s="7"/>
      <c r="D322" s="7"/>
      <c r="E322" s="7"/>
      <c r="F322" s="7"/>
      <c r="G322" s="13"/>
      <c r="H322" s="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7"/>
      <c r="B323" s="7"/>
      <c r="C323" s="7"/>
      <c r="D323" s="7"/>
      <c r="E323" s="7"/>
      <c r="F323" s="7"/>
      <c r="G323" s="13"/>
      <c r="H323" s="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7"/>
      <c r="B324" s="7"/>
      <c r="C324" s="7"/>
      <c r="D324" s="7"/>
      <c r="E324" s="7"/>
      <c r="F324" s="7"/>
      <c r="G324" s="13"/>
      <c r="H324" s="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7"/>
      <c r="B325" s="7"/>
      <c r="C325" s="7"/>
      <c r="D325" s="7"/>
      <c r="E325" s="7"/>
      <c r="F325" s="7"/>
      <c r="G325" s="13"/>
      <c r="H325" s="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7"/>
      <c r="B326" s="7"/>
      <c r="C326" s="7"/>
      <c r="D326" s="7"/>
      <c r="E326" s="7"/>
      <c r="F326" s="7"/>
      <c r="G326" s="13"/>
      <c r="H326" s="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7"/>
      <c r="B327" s="7"/>
      <c r="C327" s="7"/>
      <c r="D327" s="7"/>
      <c r="E327" s="7"/>
      <c r="F327" s="7"/>
      <c r="G327" s="13"/>
      <c r="H327" s="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7"/>
      <c r="B328" s="7"/>
      <c r="C328" s="7"/>
      <c r="D328" s="7"/>
      <c r="E328" s="7"/>
      <c r="F328" s="7"/>
      <c r="G328" s="13"/>
      <c r="H328" s="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7"/>
      <c r="B329" s="7"/>
      <c r="C329" s="7"/>
      <c r="D329" s="7"/>
      <c r="E329" s="7"/>
      <c r="F329" s="7"/>
      <c r="G329" s="13"/>
      <c r="H329" s="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7"/>
      <c r="B330" s="7"/>
      <c r="C330" s="7"/>
      <c r="D330" s="7"/>
      <c r="E330" s="7"/>
      <c r="F330" s="7"/>
      <c r="G330" s="13"/>
      <c r="H330" s="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7"/>
      <c r="B331" s="7"/>
      <c r="C331" s="7"/>
      <c r="D331" s="7"/>
      <c r="E331" s="7"/>
      <c r="F331" s="7"/>
      <c r="G331" s="13"/>
      <c r="H331" s="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7"/>
      <c r="B332" s="7"/>
      <c r="C332" s="7"/>
      <c r="D332" s="7"/>
      <c r="E332" s="7"/>
      <c r="F332" s="7"/>
      <c r="G332" s="13"/>
      <c r="H332" s="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7"/>
      <c r="B333" s="7"/>
      <c r="C333" s="7"/>
      <c r="D333" s="7"/>
      <c r="E333" s="7"/>
      <c r="F333" s="7"/>
      <c r="G333" s="13"/>
      <c r="H333" s="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7"/>
      <c r="B334" s="7"/>
      <c r="C334" s="7"/>
      <c r="D334" s="7"/>
      <c r="E334" s="7"/>
      <c r="F334" s="7"/>
      <c r="G334" s="13"/>
      <c r="H334" s="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7"/>
      <c r="B335" s="7"/>
      <c r="C335" s="7"/>
      <c r="D335" s="7"/>
      <c r="E335" s="7"/>
      <c r="F335" s="7"/>
      <c r="G335" s="13"/>
      <c r="H335" s="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7"/>
      <c r="B336" s="7"/>
      <c r="C336" s="7"/>
      <c r="D336" s="7"/>
      <c r="E336" s="7"/>
      <c r="F336" s="7"/>
      <c r="G336" s="13"/>
      <c r="H336" s="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7"/>
      <c r="B337" s="7"/>
      <c r="C337" s="7"/>
      <c r="D337" s="7"/>
      <c r="E337" s="7"/>
      <c r="F337" s="7"/>
      <c r="G337" s="13"/>
      <c r="H337" s="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7"/>
      <c r="B338" s="7"/>
      <c r="C338" s="7"/>
      <c r="D338" s="7"/>
      <c r="E338" s="7"/>
      <c r="F338" s="7"/>
      <c r="G338" s="13"/>
      <c r="H338" s="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7"/>
      <c r="B339" s="7"/>
      <c r="C339" s="7"/>
      <c r="D339" s="7"/>
      <c r="E339" s="7"/>
      <c r="F339" s="7"/>
      <c r="G339" s="13"/>
      <c r="H339" s="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7"/>
      <c r="B340" s="7"/>
      <c r="C340" s="7"/>
      <c r="D340" s="7"/>
      <c r="E340" s="7"/>
      <c r="F340" s="7"/>
      <c r="G340" s="13"/>
      <c r="H340" s="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7"/>
      <c r="B341" s="7"/>
      <c r="C341" s="7"/>
      <c r="D341" s="7"/>
      <c r="E341" s="7"/>
      <c r="F341" s="7"/>
      <c r="G341" s="13"/>
      <c r="H341" s="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7"/>
      <c r="B342" s="7"/>
      <c r="C342" s="7"/>
      <c r="D342" s="7"/>
      <c r="E342" s="7"/>
      <c r="F342" s="7"/>
      <c r="G342" s="13"/>
      <c r="H342" s="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7"/>
      <c r="B343" s="7"/>
      <c r="C343" s="7"/>
      <c r="D343" s="7"/>
      <c r="E343" s="7"/>
      <c r="F343" s="7"/>
      <c r="G343" s="13"/>
      <c r="H343" s="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7"/>
      <c r="B344" s="7"/>
      <c r="C344" s="7"/>
      <c r="D344" s="7"/>
      <c r="E344" s="7"/>
      <c r="F344" s="7"/>
      <c r="G344" s="13"/>
      <c r="H344" s="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7"/>
      <c r="B345" s="7"/>
      <c r="C345" s="7"/>
      <c r="D345" s="7"/>
      <c r="E345" s="7"/>
      <c r="F345" s="7"/>
      <c r="G345" s="13"/>
      <c r="H345" s="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7"/>
      <c r="B346" s="7"/>
      <c r="C346" s="7"/>
      <c r="D346" s="7"/>
      <c r="E346" s="7"/>
      <c r="F346" s="7"/>
      <c r="G346" s="13"/>
      <c r="H346" s="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7"/>
      <c r="B347" s="7"/>
      <c r="C347" s="7"/>
      <c r="D347" s="7"/>
      <c r="E347" s="7"/>
      <c r="F347" s="7"/>
      <c r="G347" s="13"/>
      <c r="H347" s="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7"/>
      <c r="B348" s="7"/>
      <c r="C348" s="7"/>
      <c r="D348" s="7"/>
      <c r="E348" s="7"/>
      <c r="F348" s="7"/>
      <c r="G348" s="13"/>
      <c r="H348" s="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7"/>
      <c r="B349" s="7"/>
      <c r="C349" s="7"/>
      <c r="D349" s="7"/>
      <c r="E349" s="7"/>
      <c r="F349" s="7"/>
      <c r="G349" s="13"/>
      <c r="H349" s="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7"/>
      <c r="B350" s="7"/>
      <c r="C350" s="7"/>
      <c r="D350" s="7"/>
      <c r="E350" s="7"/>
      <c r="F350" s="7"/>
      <c r="G350" s="13"/>
      <c r="H350" s="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7"/>
      <c r="B351" s="7"/>
      <c r="C351" s="7"/>
      <c r="D351" s="7"/>
      <c r="E351" s="7"/>
      <c r="F351" s="7"/>
      <c r="G351" s="13"/>
      <c r="H351" s="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7"/>
      <c r="B352" s="7"/>
      <c r="C352" s="7"/>
      <c r="D352" s="7"/>
      <c r="E352" s="7"/>
      <c r="F352" s="7"/>
      <c r="G352" s="13"/>
      <c r="H352" s="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7"/>
      <c r="B353" s="7"/>
      <c r="C353" s="7"/>
      <c r="D353" s="7"/>
      <c r="E353" s="7"/>
      <c r="F353" s="7"/>
      <c r="G353" s="13"/>
      <c r="H353" s="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7"/>
      <c r="B354" s="7"/>
      <c r="C354" s="7"/>
      <c r="D354" s="7"/>
      <c r="E354" s="7"/>
      <c r="F354" s="7"/>
      <c r="G354" s="13"/>
      <c r="H354" s="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7"/>
      <c r="B355" s="7"/>
      <c r="C355" s="7"/>
      <c r="D355" s="7"/>
      <c r="E355" s="7"/>
      <c r="F355" s="7"/>
      <c r="G355" s="13"/>
      <c r="H355" s="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7"/>
      <c r="B356" s="7"/>
      <c r="C356" s="7"/>
      <c r="D356" s="7"/>
      <c r="E356" s="7"/>
      <c r="F356" s="7"/>
      <c r="G356" s="13"/>
      <c r="H356" s="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7"/>
      <c r="B357" s="7"/>
      <c r="C357" s="7"/>
      <c r="D357" s="7"/>
      <c r="E357" s="7"/>
      <c r="F357" s="7"/>
      <c r="G357" s="13"/>
      <c r="H357" s="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7"/>
      <c r="B358" s="7"/>
      <c r="C358" s="7"/>
      <c r="D358" s="7"/>
      <c r="E358" s="7"/>
      <c r="F358" s="7"/>
      <c r="G358" s="13"/>
      <c r="H358" s="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7"/>
      <c r="B359" s="7"/>
      <c r="C359" s="7"/>
      <c r="D359" s="7"/>
      <c r="E359" s="7"/>
      <c r="F359" s="7"/>
      <c r="G359" s="13"/>
      <c r="H359" s="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7"/>
      <c r="B360" s="7"/>
      <c r="C360" s="7"/>
      <c r="D360" s="7"/>
      <c r="E360" s="7"/>
      <c r="F360" s="7"/>
      <c r="G360" s="13"/>
      <c r="H360" s="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7"/>
      <c r="B361" s="7"/>
      <c r="C361" s="7"/>
      <c r="D361" s="7"/>
      <c r="E361" s="7"/>
      <c r="F361" s="7"/>
      <c r="G361" s="13"/>
      <c r="H361" s="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7"/>
      <c r="B362" s="7"/>
      <c r="C362" s="7"/>
      <c r="D362" s="7"/>
      <c r="E362" s="7"/>
      <c r="F362" s="7"/>
      <c r="G362" s="13"/>
      <c r="H362" s="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7"/>
      <c r="B363" s="7"/>
      <c r="C363" s="7"/>
      <c r="D363" s="7"/>
      <c r="E363" s="7"/>
      <c r="F363" s="7"/>
      <c r="G363" s="13"/>
      <c r="H363" s="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7"/>
      <c r="B364" s="7"/>
      <c r="C364" s="7"/>
      <c r="D364" s="7"/>
      <c r="E364" s="7"/>
      <c r="F364" s="7"/>
      <c r="G364" s="13"/>
      <c r="H364" s="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7"/>
      <c r="B365" s="7"/>
      <c r="C365" s="7"/>
      <c r="D365" s="7"/>
      <c r="E365" s="7"/>
      <c r="F365" s="7"/>
      <c r="G365" s="13"/>
      <c r="H365" s="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7"/>
      <c r="B366" s="7"/>
      <c r="C366" s="7"/>
      <c r="D366" s="7"/>
      <c r="E366" s="7"/>
      <c r="F366" s="7"/>
      <c r="G366" s="13"/>
      <c r="H366" s="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7"/>
      <c r="B367" s="7"/>
      <c r="C367" s="7"/>
      <c r="D367" s="7"/>
      <c r="E367" s="7"/>
      <c r="F367" s="7"/>
      <c r="G367" s="13"/>
      <c r="H367" s="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7"/>
      <c r="B368" s="7"/>
      <c r="C368" s="7"/>
      <c r="D368" s="7"/>
      <c r="E368" s="7"/>
      <c r="F368" s="7"/>
      <c r="G368" s="13"/>
      <c r="H368" s="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7"/>
      <c r="B369" s="7"/>
      <c r="C369" s="7"/>
      <c r="D369" s="7"/>
      <c r="E369" s="7"/>
      <c r="F369" s="7"/>
      <c r="G369" s="13"/>
      <c r="H369" s="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7"/>
      <c r="B370" s="7"/>
      <c r="C370" s="7"/>
      <c r="D370" s="7"/>
      <c r="E370" s="7"/>
      <c r="F370" s="7"/>
      <c r="G370" s="13"/>
      <c r="H370" s="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7"/>
      <c r="B371" s="7"/>
      <c r="C371" s="7"/>
      <c r="D371" s="7"/>
      <c r="E371" s="7"/>
      <c r="F371" s="7"/>
      <c r="G371" s="13"/>
      <c r="H371" s="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7"/>
      <c r="B372" s="7"/>
      <c r="C372" s="7"/>
      <c r="D372" s="7"/>
      <c r="E372" s="7"/>
      <c r="F372" s="7"/>
      <c r="G372" s="13"/>
      <c r="H372" s="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7"/>
      <c r="B373" s="7"/>
      <c r="C373" s="7"/>
      <c r="D373" s="7"/>
      <c r="E373" s="7"/>
      <c r="F373" s="7"/>
      <c r="G373" s="13"/>
      <c r="H373" s="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7"/>
      <c r="B374" s="7"/>
      <c r="C374" s="7"/>
      <c r="D374" s="7"/>
      <c r="E374" s="7"/>
      <c r="F374" s="7"/>
      <c r="G374" s="13"/>
      <c r="H374" s="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7"/>
      <c r="B375" s="7"/>
      <c r="C375" s="7"/>
      <c r="D375" s="7"/>
      <c r="E375" s="7"/>
      <c r="F375" s="7"/>
      <c r="G375" s="13"/>
      <c r="H375" s="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7"/>
      <c r="B376" s="7"/>
      <c r="C376" s="7"/>
      <c r="D376" s="7"/>
      <c r="E376" s="7"/>
      <c r="F376" s="7"/>
      <c r="G376" s="13"/>
      <c r="H376" s="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7"/>
      <c r="B377" s="7"/>
      <c r="C377" s="7"/>
      <c r="D377" s="7"/>
      <c r="E377" s="7"/>
      <c r="F377" s="7"/>
      <c r="G377" s="13"/>
      <c r="H377" s="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7"/>
      <c r="B378" s="7"/>
      <c r="C378" s="7"/>
      <c r="D378" s="7"/>
      <c r="E378" s="7"/>
      <c r="F378" s="7"/>
      <c r="G378" s="13"/>
      <c r="H378" s="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7"/>
      <c r="B379" s="7"/>
      <c r="C379" s="7"/>
      <c r="D379" s="7"/>
      <c r="E379" s="7"/>
      <c r="F379" s="7"/>
      <c r="G379" s="13"/>
      <c r="H379" s="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7"/>
      <c r="B380" s="7"/>
      <c r="C380" s="7"/>
      <c r="D380" s="7"/>
      <c r="E380" s="7"/>
      <c r="F380" s="7"/>
      <c r="G380" s="13"/>
      <c r="H380" s="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7"/>
      <c r="B381" s="7"/>
      <c r="C381" s="7"/>
      <c r="D381" s="7"/>
      <c r="E381" s="7"/>
      <c r="F381" s="7"/>
      <c r="G381" s="13"/>
      <c r="H381" s="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7"/>
      <c r="B382" s="7"/>
      <c r="C382" s="7"/>
      <c r="D382" s="7"/>
      <c r="E382" s="7"/>
      <c r="F382" s="7"/>
      <c r="G382" s="13"/>
      <c r="H382" s="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7"/>
      <c r="B383" s="7"/>
      <c r="C383" s="7"/>
      <c r="D383" s="7"/>
      <c r="E383" s="7"/>
      <c r="F383" s="7"/>
      <c r="G383" s="13"/>
      <c r="H383" s="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7"/>
      <c r="B384" s="7"/>
      <c r="C384" s="7"/>
      <c r="D384" s="7"/>
      <c r="E384" s="7"/>
      <c r="F384" s="7"/>
      <c r="G384" s="13"/>
      <c r="H384" s="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7"/>
      <c r="B385" s="7"/>
      <c r="C385" s="7"/>
      <c r="D385" s="7"/>
      <c r="E385" s="7"/>
      <c r="F385" s="7"/>
      <c r="G385" s="13"/>
      <c r="H385" s="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7"/>
      <c r="B386" s="7"/>
      <c r="C386" s="7"/>
      <c r="D386" s="7"/>
      <c r="E386" s="7"/>
      <c r="F386" s="7"/>
      <c r="G386" s="13"/>
      <c r="H386" s="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7"/>
      <c r="B387" s="7"/>
      <c r="C387" s="7"/>
      <c r="D387" s="7"/>
      <c r="E387" s="7"/>
      <c r="F387" s="7"/>
      <c r="G387" s="13"/>
      <c r="H387" s="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7"/>
      <c r="B388" s="7"/>
      <c r="C388" s="7"/>
      <c r="D388" s="7"/>
      <c r="E388" s="7"/>
      <c r="F388" s="7"/>
      <c r="G388" s="13"/>
      <c r="H388" s="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7"/>
      <c r="B389" s="7"/>
      <c r="C389" s="7"/>
      <c r="D389" s="7"/>
      <c r="E389" s="7"/>
      <c r="F389" s="7"/>
      <c r="G389" s="13"/>
      <c r="H389" s="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7"/>
      <c r="B390" s="7"/>
      <c r="C390" s="7"/>
      <c r="D390" s="7"/>
      <c r="E390" s="7"/>
      <c r="F390" s="7"/>
      <c r="G390" s="13"/>
      <c r="H390" s="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7"/>
      <c r="B391" s="7"/>
      <c r="C391" s="7"/>
      <c r="D391" s="7"/>
      <c r="E391" s="7"/>
      <c r="F391" s="7"/>
      <c r="G391" s="13"/>
      <c r="H391" s="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7"/>
      <c r="B392" s="7"/>
      <c r="C392" s="7"/>
      <c r="D392" s="7"/>
      <c r="E392" s="7"/>
      <c r="F392" s="7"/>
      <c r="G392" s="13"/>
      <c r="H392" s="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7"/>
      <c r="B393" s="7"/>
      <c r="C393" s="7"/>
      <c r="D393" s="7"/>
      <c r="E393" s="7"/>
      <c r="F393" s="7"/>
      <c r="G393" s="13"/>
      <c r="H393" s="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7"/>
      <c r="B394" s="7"/>
      <c r="C394" s="7"/>
      <c r="D394" s="7"/>
      <c r="E394" s="7"/>
      <c r="F394" s="7"/>
      <c r="G394" s="13"/>
      <c r="H394" s="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7"/>
      <c r="B395" s="7"/>
      <c r="C395" s="7"/>
      <c r="D395" s="7"/>
      <c r="E395" s="7"/>
      <c r="F395" s="7"/>
      <c r="G395" s="13"/>
      <c r="H395" s="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7"/>
      <c r="B396" s="7"/>
      <c r="C396" s="7"/>
      <c r="D396" s="7"/>
      <c r="E396" s="7"/>
      <c r="F396" s="7"/>
      <c r="G396" s="13"/>
      <c r="H396" s="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7"/>
      <c r="B397" s="7"/>
      <c r="C397" s="7"/>
      <c r="D397" s="7"/>
      <c r="E397" s="7"/>
      <c r="F397" s="7"/>
      <c r="G397" s="13"/>
      <c r="H397" s="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7"/>
      <c r="B398" s="7"/>
      <c r="C398" s="7"/>
      <c r="D398" s="7"/>
      <c r="E398" s="7"/>
      <c r="F398" s="7"/>
      <c r="G398" s="13"/>
      <c r="H398" s="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7"/>
      <c r="B399" s="7"/>
      <c r="C399" s="7"/>
      <c r="D399" s="7"/>
      <c r="E399" s="7"/>
      <c r="F399" s="7"/>
      <c r="G399" s="13"/>
      <c r="H399" s="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7"/>
      <c r="B400" s="7"/>
      <c r="C400" s="7"/>
      <c r="D400" s="7"/>
      <c r="E400" s="7"/>
      <c r="F400" s="7"/>
      <c r="G400" s="13"/>
      <c r="H400" s="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7"/>
      <c r="B401" s="7"/>
      <c r="C401" s="7"/>
      <c r="D401" s="7"/>
      <c r="E401" s="7"/>
      <c r="F401" s="7"/>
      <c r="G401" s="13"/>
      <c r="H401" s="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7"/>
      <c r="B402" s="7"/>
      <c r="C402" s="7"/>
      <c r="D402" s="7"/>
      <c r="E402" s="7"/>
      <c r="F402" s="7"/>
      <c r="G402" s="13"/>
      <c r="H402" s="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7"/>
      <c r="B403" s="7"/>
      <c r="C403" s="7"/>
      <c r="D403" s="7"/>
      <c r="E403" s="7"/>
      <c r="F403" s="7"/>
      <c r="G403" s="13"/>
      <c r="H403" s="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7"/>
      <c r="B404" s="7"/>
      <c r="C404" s="7"/>
      <c r="D404" s="7"/>
      <c r="E404" s="7"/>
      <c r="F404" s="7"/>
      <c r="G404" s="13"/>
      <c r="H404" s="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7"/>
      <c r="B405" s="7"/>
      <c r="C405" s="7"/>
      <c r="D405" s="7"/>
      <c r="E405" s="7"/>
      <c r="F405" s="7"/>
      <c r="G405" s="13"/>
      <c r="H405" s="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7"/>
      <c r="B406" s="7"/>
      <c r="C406" s="7"/>
      <c r="D406" s="7"/>
      <c r="E406" s="7"/>
      <c r="F406" s="7"/>
      <c r="G406" s="13"/>
      <c r="H406" s="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7"/>
      <c r="B407" s="7"/>
      <c r="C407" s="7"/>
      <c r="D407" s="7"/>
      <c r="E407" s="7"/>
      <c r="F407" s="7"/>
      <c r="G407" s="13"/>
      <c r="H407" s="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7"/>
      <c r="B408" s="7"/>
      <c r="C408" s="7"/>
      <c r="D408" s="7"/>
      <c r="E408" s="7"/>
      <c r="F408" s="7"/>
      <c r="G408" s="13"/>
      <c r="H408" s="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7"/>
      <c r="B409" s="7"/>
      <c r="C409" s="7"/>
      <c r="D409" s="7"/>
      <c r="E409" s="7"/>
      <c r="F409" s="7"/>
      <c r="G409" s="13"/>
      <c r="H409" s="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7"/>
      <c r="B410" s="7"/>
      <c r="C410" s="7"/>
      <c r="D410" s="7"/>
      <c r="E410" s="7"/>
      <c r="F410" s="7"/>
      <c r="G410" s="13"/>
      <c r="H410" s="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7"/>
      <c r="B411" s="7"/>
      <c r="C411" s="7"/>
      <c r="D411" s="7"/>
      <c r="E411" s="7"/>
      <c r="F411" s="7"/>
      <c r="G411" s="13"/>
      <c r="H411" s="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7"/>
      <c r="B412" s="7"/>
      <c r="C412" s="7"/>
      <c r="D412" s="7"/>
      <c r="E412" s="7"/>
      <c r="F412" s="7"/>
      <c r="G412" s="13"/>
      <c r="H412" s="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7"/>
      <c r="B413" s="7"/>
      <c r="C413" s="7"/>
      <c r="D413" s="7"/>
      <c r="E413" s="7"/>
      <c r="F413" s="7"/>
      <c r="G413" s="13"/>
      <c r="H413" s="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7"/>
      <c r="B414" s="7"/>
      <c r="C414" s="7"/>
      <c r="D414" s="7"/>
      <c r="E414" s="7"/>
      <c r="F414" s="7"/>
      <c r="G414" s="13"/>
      <c r="H414" s="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7"/>
      <c r="B415" s="7"/>
      <c r="C415" s="7"/>
      <c r="D415" s="7"/>
      <c r="E415" s="7"/>
      <c r="F415" s="7"/>
      <c r="G415" s="13"/>
      <c r="H415" s="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7"/>
      <c r="B416" s="7"/>
      <c r="C416" s="7"/>
      <c r="D416" s="7"/>
      <c r="E416" s="7"/>
      <c r="F416" s="7"/>
      <c r="G416" s="13"/>
      <c r="H416" s="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7"/>
      <c r="B417" s="7"/>
      <c r="C417" s="7"/>
      <c r="D417" s="7"/>
      <c r="E417" s="7"/>
      <c r="F417" s="7"/>
      <c r="G417" s="13"/>
      <c r="H417" s="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7"/>
      <c r="B418" s="7"/>
      <c r="C418" s="7"/>
      <c r="D418" s="7"/>
      <c r="E418" s="7"/>
      <c r="F418" s="7"/>
      <c r="G418" s="13"/>
      <c r="H418" s="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7"/>
      <c r="B419" s="7"/>
      <c r="C419" s="7"/>
      <c r="D419" s="7"/>
      <c r="E419" s="7"/>
      <c r="F419" s="7"/>
      <c r="G419" s="13"/>
      <c r="H419" s="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7"/>
      <c r="B420" s="7"/>
      <c r="C420" s="7"/>
      <c r="D420" s="7"/>
      <c r="E420" s="7"/>
      <c r="F420" s="7"/>
      <c r="G420" s="13"/>
      <c r="H420" s="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7"/>
      <c r="B421" s="7"/>
      <c r="C421" s="7"/>
      <c r="D421" s="7"/>
      <c r="E421" s="7"/>
      <c r="F421" s="7"/>
      <c r="G421" s="13"/>
      <c r="H421" s="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7"/>
      <c r="B422" s="7"/>
      <c r="C422" s="7"/>
      <c r="D422" s="7"/>
      <c r="E422" s="7"/>
      <c r="F422" s="7"/>
      <c r="G422" s="13"/>
      <c r="H422" s="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7"/>
      <c r="B423" s="7"/>
      <c r="C423" s="7"/>
      <c r="D423" s="7"/>
      <c r="E423" s="7"/>
      <c r="F423" s="7"/>
      <c r="G423" s="13"/>
      <c r="H423" s="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7"/>
      <c r="B424" s="7"/>
      <c r="C424" s="7"/>
      <c r="D424" s="7"/>
      <c r="E424" s="7"/>
      <c r="F424" s="7"/>
      <c r="G424" s="13"/>
      <c r="H424" s="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7"/>
      <c r="B425" s="7"/>
      <c r="C425" s="7"/>
      <c r="D425" s="7"/>
      <c r="E425" s="7"/>
      <c r="F425" s="7"/>
      <c r="G425" s="13"/>
      <c r="H425" s="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7"/>
      <c r="B426" s="7"/>
      <c r="C426" s="7"/>
      <c r="D426" s="7"/>
      <c r="E426" s="7"/>
      <c r="F426" s="7"/>
      <c r="G426" s="13"/>
      <c r="H426" s="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7"/>
      <c r="B427" s="7"/>
      <c r="C427" s="7"/>
      <c r="D427" s="7"/>
      <c r="E427" s="7"/>
      <c r="F427" s="7"/>
      <c r="G427" s="13"/>
      <c r="H427" s="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7"/>
      <c r="B428" s="7"/>
      <c r="C428" s="7"/>
      <c r="D428" s="7"/>
      <c r="E428" s="7"/>
      <c r="F428" s="7"/>
      <c r="G428" s="13"/>
      <c r="H428" s="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7"/>
      <c r="B429" s="7"/>
      <c r="C429" s="7"/>
      <c r="D429" s="7"/>
      <c r="E429" s="7"/>
      <c r="F429" s="7"/>
      <c r="G429" s="13"/>
      <c r="H429" s="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7"/>
      <c r="B430" s="7"/>
      <c r="C430" s="7"/>
      <c r="D430" s="7"/>
      <c r="E430" s="7"/>
      <c r="F430" s="7"/>
      <c r="G430" s="13"/>
      <c r="H430" s="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7"/>
      <c r="B431" s="7"/>
      <c r="C431" s="7"/>
      <c r="D431" s="7"/>
      <c r="E431" s="7"/>
      <c r="F431" s="7"/>
      <c r="G431" s="13"/>
      <c r="H431" s="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7"/>
      <c r="B432" s="7"/>
      <c r="C432" s="7"/>
      <c r="D432" s="7"/>
      <c r="E432" s="7"/>
      <c r="F432" s="7"/>
      <c r="G432" s="13"/>
      <c r="H432" s="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7"/>
      <c r="B433" s="7"/>
      <c r="C433" s="7"/>
      <c r="D433" s="7"/>
      <c r="E433" s="7"/>
      <c r="F433" s="7"/>
      <c r="G433" s="13"/>
      <c r="H433" s="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7"/>
      <c r="B434" s="7"/>
      <c r="C434" s="7"/>
      <c r="D434" s="7"/>
      <c r="E434" s="7"/>
      <c r="F434" s="7"/>
      <c r="G434" s="13"/>
      <c r="H434" s="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7"/>
      <c r="B435" s="7"/>
      <c r="C435" s="7"/>
      <c r="D435" s="7"/>
      <c r="E435" s="7"/>
      <c r="F435" s="7"/>
      <c r="G435" s="13"/>
      <c r="H435" s="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7"/>
      <c r="B436" s="7"/>
      <c r="C436" s="7"/>
      <c r="D436" s="7"/>
      <c r="E436" s="7"/>
      <c r="F436" s="7"/>
      <c r="G436" s="13"/>
      <c r="H436" s="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7"/>
      <c r="B437" s="7"/>
      <c r="C437" s="7"/>
      <c r="D437" s="7"/>
      <c r="E437" s="7"/>
      <c r="F437" s="7"/>
      <c r="G437" s="13"/>
      <c r="H437" s="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7"/>
      <c r="B438" s="7"/>
      <c r="C438" s="7"/>
      <c r="D438" s="7"/>
      <c r="E438" s="7"/>
      <c r="F438" s="7"/>
      <c r="G438" s="13"/>
      <c r="H438" s="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7"/>
      <c r="B439" s="7"/>
      <c r="C439" s="7"/>
      <c r="D439" s="7"/>
      <c r="E439" s="7"/>
      <c r="F439" s="7"/>
      <c r="G439" s="13"/>
      <c r="H439" s="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7"/>
      <c r="B440" s="7"/>
      <c r="C440" s="7"/>
      <c r="D440" s="7"/>
      <c r="E440" s="7"/>
      <c r="F440" s="7"/>
      <c r="G440" s="13"/>
      <c r="H440" s="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7"/>
      <c r="B441" s="7"/>
      <c r="C441" s="7"/>
      <c r="D441" s="7"/>
      <c r="E441" s="7"/>
      <c r="F441" s="7"/>
      <c r="G441" s="13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7"/>
      <c r="B442" s="7"/>
      <c r="C442" s="7"/>
      <c r="D442" s="7"/>
      <c r="E442" s="7"/>
      <c r="F442" s="7"/>
      <c r="G442" s="13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7"/>
      <c r="B443" s="7"/>
      <c r="C443" s="7"/>
      <c r="D443" s="7"/>
      <c r="E443" s="7"/>
      <c r="F443" s="7"/>
      <c r="G443" s="13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7"/>
      <c r="B444" s="7"/>
      <c r="C444" s="7"/>
      <c r="D444" s="7"/>
      <c r="E444" s="7"/>
      <c r="F444" s="7"/>
      <c r="G444" s="13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7"/>
      <c r="B445" s="7"/>
      <c r="C445" s="7"/>
      <c r="D445" s="7"/>
      <c r="E445" s="7"/>
      <c r="F445" s="7"/>
      <c r="G445" s="13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7"/>
      <c r="B446" s="7"/>
      <c r="C446" s="7"/>
      <c r="D446" s="7"/>
      <c r="E446" s="7"/>
      <c r="F446" s="7"/>
      <c r="G446" s="13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7"/>
      <c r="B447" s="7"/>
      <c r="C447" s="7"/>
      <c r="D447" s="7"/>
      <c r="E447" s="7"/>
      <c r="F447" s="7"/>
      <c r="G447" s="13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7"/>
      <c r="B448" s="7"/>
      <c r="C448" s="7"/>
      <c r="D448" s="7"/>
      <c r="E448" s="7"/>
      <c r="F448" s="7"/>
      <c r="G448" s="13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7"/>
      <c r="B449" s="7"/>
      <c r="C449" s="7"/>
      <c r="D449" s="7"/>
      <c r="E449" s="7"/>
      <c r="F449" s="7"/>
      <c r="G449" s="13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7"/>
      <c r="B450" s="7"/>
      <c r="C450" s="7"/>
      <c r="D450" s="7"/>
      <c r="E450" s="7"/>
      <c r="F450" s="7"/>
      <c r="G450" s="13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7"/>
      <c r="B451" s="7"/>
      <c r="C451" s="7"/>
      <c r="D451" s="7"/>
      <c r="E451" s="7"/>
      <c r="F451" s="7"/>
      <c r="G451" s="13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7"/>
      <c r="B452" s="7"/>
      <c r="C452" s="7"/>
      <c r="D452" s="7"/>
      <c r="E452" s="7"/>
      <c r="F452" s="7"/>
      <c r="G452" s="13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7"/>
      <c r="B453" s="7"/>
      <c r="C453" s="7"/>
      <c r="D453" s="7"/>
      <c r="E453" s="7"/>
      <c r="F453" s="7"/>
      <c r="G453" s="13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7"/>
      <c r="B454" s="7"/>
      <c r="C454" s="7"/>
      <c r="D454" s="7"/>
      <c r="E454" s="7"/>
      <c r="F454" s="7"/>
      <c r="G454" s="13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7"/>
      <c r="B455" s="7"/>
      <c r="C455" s="7"/>
      <c r="D455" s="7"/>
      <c r="E455" s="7"/>
      <c r="F455" s="7"/>
      <c r="G455" s="13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7"/>
      <c r="B456" s="7"/>
      <c r="C456" s="7"/>
      <c r="D456" s="7"/>
      <c r="E456" s="7"/>
      <c r="F456" s="7"/>
      <c r="G456" s="13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7"/>
      <c r="B457" s="7"/>
      <c r="C457" s="7"/>
      <c r="D457" s="7"/>
      <c r="E457" s="7"/>
      <c r="F457" s="7"/>
      <c r="G457" s="13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7"/>
      <c r="B458" s="7"/>
      <c r="C458" s="7"/>
      <c r="D458" s="7"/>
      <c r="E458" s="7"/>
      <c r="F458" s="7"/>
      <c r="G458" s="13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7"/>
      <c r="B459" s="7"/>
      <c r="C459" s="7"/>
      <c r="D459" s="7"/>
      <c r="E459" s="7"/>
      <c r="F459" s="7"/>
      <c r="G459" s="13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7"/>
      <c r="B460" s="7"/>
      <c r="C460" s="7"/>
      <c r="D460" s="7"/>
      <c r="E460" s="7"/>
      <c r="F460" s="7"/>
      <c r="G460" s="13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7"/>
      <c r="B461" s="7"/>
      <c r="C461" s="7"/>
      <c r="D461" s="7"/>
      <c r="E461" s="7"/>
      <c r="F461" s="7"/>
      <c r="G461" s="13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7"/>
      <c r="B462" s="7"/>
      <c r="C462" s="7"/>
      <c r="D462" s="7"/>
      <c r="E462" s="7"/>
      <c r="F462" s="7"/>
      <c r="G462" s="13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7"/>
      <c r="B463" s="7"/>
      <c r="C463" s="7"/>
      <c r="D463" s="7"/>
      <c r="E463" s="7"/>
      <c r="F463" s="7"/>
      <c r="G463" s="13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7"/>
      <c r="B464" s="7"/>
      <c r="C464" s="7"/>
      <c r="D464" s="7"/>
      <c r="E464" s="7"/>
      <c r="F464" s="7"/>
      <c r="G464" s="13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7"/>
      <c r="B465" s="7"/>
      <c r="C465" s="7"/>
      <c r="D465" s="7"/>
      <c r="E465" s="7"/>
      <c r="F465" s="7"/>
      <c r="G465" s="13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7"/>
      <c r="B466" s="7"/>
      <c r="C466" s="7"/>
      <c r="D466" s="7"/>
      <c r="E466" s="7"/>
      <c r="F466" s="7"/>
      <c r="G466" s="13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7"/>
      <c r="B467" s="7"/>
      <c r="C467" s="7"/>
      <c r="D467" s="7"/>
      <c r="E467" s="7"/>
      <c r="F467" s="7"/>
      <c r="G467" s="13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7"/>
      <c r="B468" s="7"/>
      <c r="C468" s="7"/>
      <c r="D468" s="7"/>
      <c r="E468" s="7"/>
      <c r="F468" s="7"/>
      <c r="G468" s="13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7"/>
      <c r="B469" s="7"/>
      <c r="C469" s="7"/>
      <c r="D469" s="7"/>
      <c r="E469" s="7"/>
      <c r="F469" s="7"/>
      <c r="G469" s="13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7"/>
      <c r="B470" s="7"/>
      <c r="C470" s="7"/>
      <c r="D470" s="7"/>
      <c r="E470" s="7"/>
      <c r="F470" s="7"/>
      <c r="G470" s="13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7"/>
      <c r="B471" s="7"/>
      <c r="C471" s="7"/>
      <c r="D471" s="7"/>
      <c r="E471" s="7"/>
      <c r="F471" s="7"/>
      <c r="G471" s="13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7"/>
      <c r="B472" s="7"/>
      <c r="C472" s="7"/>
      <c r="D472" s="7"/>
      <c r="E472" s="7"/>
      <c r="F472" s="7"/>
      <c r="G472" s="13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7"/>
      <c r="B473" s="7"/>
      <c r="C473" s="7"/>
      <c r="D473" s="7"/>
      <c r="E473" s="7"/>
      <c r="F473" s="7"/>
      <c r="G473" s="13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7"/>
      <c r="B474" s="7"/>
      <c r="C474" s="7"/>
      <c r="D474" s="7"/>
      <c r="E474" s="7"/>
      <c r="F474" s="7"/>
      <c r="G474" s="13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7"/>
      <c r="B475" s="7"/>
      <c r="C475" s="7"/>
      <c r="D475" s="7"/>
      <c r="E475" s="7"/>
      <c r="F475" s="7"/>
      <c r="G475" s="13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7"/>
      <c r="B476" s="7"/>
      <c r="C476" s="7"/>
      <c r="D476" s="7"/>
      <c r="E476" s="7"/>
      <c r="F476" s="7"/>
      <c r="G476" s="13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7"/>
      <c r="B477" s="7"/>
      <c r="C477" s="7"/>
      <c r="D477" s="7"/>
      <c r="E477" s="7"/>
      <c r="F477" s="7"/>
      <c r="G477" s="13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7"/>
      <c r="B478" s="7"/>
      <c r="C478" s="7"/>
      <c r="D478" s="7"/>
      <c r="E478" s="7"/>
      <c r="F478" s="7"/>
      <c r="G478" s="13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7"/>
      <c r="B479" s="7"/>
      <c r="C479" s="7"/>
      <c r="D479" s="7"/>
      <c r="E479" s="7"/>
      <c r="F479" s="7"/>
      <c r="G479" s="13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7"/>
      <c r="B480" s="7"/>
      <c r="C480" s="7"/>
      <c r="D480" s="7"/>
      <c r="E480" s="7"/>
      <c r="F480" s="7"/>
      <c r="G480" s="13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7"/>
      <c r="B481" s="7"/>
      <c r="C481" s="7"/>
      <c r="D481" s="7"/>
      <c r="E481" s="7"/>
      <c r="F481" s="7"/>
      <c r="G481" s="13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7"/>
      <c r="B482" s="7"/>
      <c r="C482" s="7"/>
      <c r="D482" s="7"/>
      <c r="E482" s="7"/>
      <c r="F482" s="7"/>
      <c r="G482" s="13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7"/>
      <c r="B483" s="7"/>
      <c r="C483" s="7"/>
      <c r="D483" s="7"/>
      <c r="E483" s="7"/>
      <c r="F483" s="7"/>
      <c r="G483" s="13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7"/>
      <c r="B484" s="7"/>
      <c r="C484" s="7"/>
      <c r="D484" s="7"/>
      <c r="E484" s="7"/>
      <c r="F484" s="7"/>
      <c r="G484" s="13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7"/>
      <c r="B485" s="7"/>
      <c r="C485" s="7"/>
      <c r="D485" s="7"/>
      <c r="E485" s="7"/>
      <c r="F485" s="7"/>
      <c r="G485" s="13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7"/>
      <c r="B486" s="7"/>
      <c r="C486" s="7"/>
      <c r="D486" s="7"/>
      <c r="E486" s="7"/>
      <c r="F486" s="7"/>
      <c r="G486" s="13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7"/>
      <c r="B487" s="7"/>
      <c r="C487" s="7"/>
      <c r="D487" s="7"/>
      <c r="E487" s="7"/>
      <c r="F487" s="7"/>
      <c r="G487" s="13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7"/>
      <c r="B488" s="7"/>
      <c r="C488" s="7"/>
      <c r="D488" s="7"/>
      <c r="E488" s="7"/>
      <c r="F488" s="7"/>
      <c r="G488" s="13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7"/>
      <c r="B489" s="7"/>
      <c r="C489" s="7"/>
      <c r="D489" s="7"/>
      <c r="E489" s="7"/>
      <c r="F489" s="7"/>
      <c r="G489" s="13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7"/>
      <c r="B490" s="7"/>
      <c r="C490" s="7"/>
      <c r="D490" s="7"/>
      <c r="E490" s="7"/>
      <c r="F490" s="7"/>
      <c r="G490" s="13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7"/>
      <c r="B491" s="7"/>
      <c r="C491" s="7"/>
      <c r="D491" s="7"/>
      <c r="E491" s="7"/>
      <c r="F491" s="7"/>
      <c r="G491" s="13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7"/>
      <c r="B492" s="7"/>
      <c r="C492" s="7"/>
      <c r="D492" s="7"/>
      <c r="E492" s="7"/>
      <c r="F492" s="7"/>
      <c r="G492" s="13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7"/>
      <c r="B493" s="7"/>
      <c r="C493" s="7"/>
      <c r="D493" s="7"/>
      <c r="E493" s="7"/>
      <c r="F493" s="7"/>
      <c r="G493" s="13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7"/>
      <c r="B494" s="7"/>
      <c r="C494" s="7"/>
      <c r="D494" s="7"/>
      <c r="E494" s="7"/>
      <c r="F494" s="7"/>
      <c r="G494" s="13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7"/>
      <c r="B495" s="7"/>
      <c r="C495" s="7"/>
      <c r="D495" s="7"/>
      <c r="E495" s="7"/>
      <c r="F495" s="7"/>
      <c r="G495" s="13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7"/>
      <c r="B496" s="7"/>
      <c r="C496" s="7"/>
      <c r="D496" s="7"/>
      <c r="E496" s="7"/>
      <c r="F496" s="7"/>
      <c r="G496" s="13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7"/>
      <c r="B497" s="7"/>
      <c r="C497" s="7"/>
      <c r="D497" s="7"/>
      <c r="E497" s="7"/>
      <c r="F497" s="7"/>
      <c r="G497" s="13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7"/>
      <c r="B498" s="7"/>
      <c r="C498" s="7"/>
      <c r="D498" s="7"/>
      <c r="E498" s="7"/>
      <c r="F498" s="7"/>
      <c r="G498" s="13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7"/>
      <c r="B499" s="7"/>
      <c r="C499" s="7"/>
      <c r="D499" s="7"/>
      <c r="E499" s="7"/>
      <c r="F499" s="7"/>
      <c r="G499" s="13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7"/>
      <c r="B500" s="7"/>
      <c r="C500" s="7"/>
      <c r="D500" s="7"/>
      <c r="E500" s="7"/>
      <c r="F500" s="7"/>
      <c r="G500" s="13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7"/>
      <c r="B501" s="7"/>
      <c r="C501" s="7"/>
      <c r="D501" s="7"/>
      <c r="E501" s="7"/>
      <c r="F501" s="7"/>
      <c r="G501" s="13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7"/>
      <c r="B502" s="7"/>
      <c r="C502" s="7"/>
      <c r="D502" s="7"/>
      <c r="E502" s="7"/>
      <c r="F502" s="7"/>
      <c r="G502" s="13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7"/>
      <c r="B503" s="7"/>
      <c r="C503" s="7"/>
      <c r="D503" s="7"/>
      <c r="E503" s="7"/>
      <c r="F503" s="7"/>
      <c r="G503" s="13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7"/>
      <c r="B504" s="7"/>
      <c r="C504" s="7"/>
      <c r="D504" s="7"/>
      <c r="E504" s="7"/>
      <c r="F504" s="7"/>
      <c r="G504" s="13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7"/>
      <c r="B505" s="7"/>
      <c r="C505" s="7"/>
      <c r="D505" s="7"/>
      <c r="E505" s="7"/>
      <c r="F505" s="7"/>
      <c r="G505" s="13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7"/>
      <c r="B506" s="7"/>
      <c r="C506" s="7"/>
      <c r="D506" s="7"/>
      <c r="E506" s="7"/>
      <c r="F506" s="7"/>
      <c r="G506" s="13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7"/>
      <c r="B507" s="7"/>
      <c r="C507" s="7"/>
      <c r="D507" s="7"/>
      <c r="E507" s="7"/>
      <c r="F507" s="7"/>
      <c r="G507" s="13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7"/>
      <c r="B508" s="7"/>
      <c r="C508" s="7"/>
      <c r="D508" s="7"/>
      <c r="E508" s="7"/>
      <c r="F508" s="7"/>
      <c r="G508" s="13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7"/>
      <c r="B509" s="7"/>
      <c r="C509" s="7"/>
      <c r="D509" s="7"/>
      <c r="E509" s="7"/>
      <c r="F509" s="7"/>
      <c r="G509" s="13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7"/>
      <c r="B510" s="7"/>
      <c r="C510" s="7"/>
      <c r="D510" s="7"/>
      <c r="E510" s="7"/>
      <c r="F510" s="7"/>
      <c r="G510" s="13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7"/>
      <c r="B511" s="7"/>
      <c r="C511" s="7"/>
      <c r="D511" s="7"/>
      <c r="E511" s="7"/>
      <c r="F511" s="7"/>
      <c r="G511" s="13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7"/>
      <c r="B512" s="7"/>
      <c r="C512" s="7"/>
      <c r="D512" s="7"/>
      <c r="E512" s="7"/>
      <c r="F512" s="7"/>
      <c r="G512" s="13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7"/>
      <c r="B513" s="7"/>
      <c r="C513" s="7"/>
      <c r="D513" s="7"/>
      <c r="E513" s="7"/>
      <c r="F513" s="7"/>
      <c r="G513" s="13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7"/>
      <c r="B514" s="7"/>
      <c r="C514" s="7"/>
      <c r="D514" s="7"/>
      <c r="E514" s="7"/>
      <c r="F514" s="7"/>
      <c r="G514" s="13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7"/>
      <c r="B515" s="7"/>
      <c r="C515" s="7"/>
      <c r="D515" s="7"/>
      <c r="E515" s="7"/>
      <c r="F515" s="7"/>
      <c r="G515" s="13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7"/>
      <c r="B516" s="7"/>
      <c r="C516" s="7"/>
      <c r="D516" s="7"/>
      <c r="E516" s="7"/>
      <c r="F516" s="7"/>
      <c r="G516" s="13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7"/>
      <c r="B517" s="7"/>
      <c r="C517" s="7"/>
      <c r="D517" s="7"/>
      <c r="E517" s="7"/>
      <c r="F517" s="7"/>
      <c r="G517" s="13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7"/>
      <c r="B518" s="7"/>
      <c r="C518" s="7"/>
      <c r="D518" s="7"/>
      <c r="E518" s="7"/>
      <c r="F518" s="7"/>
      <c r="G518" s="13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7"/>
      <c r="B519" s="7"/>
      <c r="C519" s="7"/>
      <c r="D519" s="7"/>
      <c r="E519" s="7"/>
      <c r="F519" s="7"/>
      <c r="G519" s="13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7"/>
      <c r="B520" s="7"/>
      <c r="C520" s="7"/>
      <c r="D520" s="7"/>
      <c r="E520" s="7"/>
      <c r="F520" s="7"/>
      <c r="G520" s="13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7"/>
      <c r="B521" s="7"/>
      <c r="C521" s="7"/>
      <c r="D521" s="7"/>
      <c r="E521" s="7"/>
      <c r="F521" s="7"/>
      <c r="G521" s="13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7"/>
      <c r="B522" s="7"/>
      <c r="C522" s="7"/>
      <c r="D522" s="7"/>
      <c r="E522" s="7"/>
      <c r="F522" s="7"/>
      <c r="G522" s="13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7"/>
      <c r="B523" s="7"/>
      <c r="C523" s="7"/>
      <c r="D523" s="7"/>
      <c r="E523" s="7"/>
      <c r="F523" s="7"/>
      <c r="G523" s="13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7"/>
      <c r="B524" s="7"/>
      <c r="C524" s="7"/>
      <c r="D524" s="7"/>
      <c r="E524" s="7"/>
      <c r="F524" s="7"/>
      <c r="G524" s="13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7"/>
      <c r="B525" s="7"/>
      <c r="C525" s="7"/>
      <c r="D525" s="7"/>
      <c r="E525" s="7"/>
      <c r="F525" s="7"/>
      <c r="G525" s="13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7"/>
      <c r="B526" s="7"/>
      <c r="C526" s="7"/>
      <c r="D526" s="7"/>
      <c r="E526" s="7"/>
      <c r="F526" s="7"/>
      <c r="G526" s="13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7"/>
      <c r="B527" s="7"/>
      <c r="C527" s="7"/>
      <c r="D527" s="7"/>
      <c r="E527" s="7"/>
      <c r="F527" s="7"/>
      <c r="G527" s="13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7"/>
      <c r="B528" s="7"/>
      <c r="C528" s="7"/>
      <c r="D528" s="7"/>
      <c r="E528" s="7"/>
      <c r="F528" s="7"/>
      <c r="G528" s="13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7"/>
      <c r="B529" s="7"/>
      <c r="C529" s="7"/>
      <c r="D529" s="7"/>
      <c r="E529" s="7"/>
      <c r="F529" s="7"/>
      <c r="G529" s="13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7"/>
      <c r="B530" s="7"/>
      <c r="C530" s="7"/>
      <c r="D530" s="7"/>
      <c r="E530" s="7"/>
      <c r="F530" s="7"/>
      <c r="G530" s="13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7"/>
      <c r="B531" s="7"/>
      <c r="C531" s="7"/>
      <c r="D531" s="7"/>
      <c r="E531" s="7"/>
      <c r="F531" s="7"/>
      <c r="G531" s="13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7"/>
      <c r="B532" s="7"/>
      <c r="C532" s="7"/>
      <c r="D532" s="7"/>
      <c r="E532" s="7"/>
      <c r="F532" s="7"/>
      <c r="G532" s="13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7"/>
      <c r="B533" s="7"/>
      <c r="C533" s="7"/>
      <c r="D533" s="7"/>
      <c r="E533" s="7"/>
      <c r="F533" s="7"/>
      <c r="G533" s="13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7"/>
      <c r="B534" s="7"/>
      <c r="C534" s="7"/>
      <c r="D534" s="7"/>
      <c r="E534" s="7"/>
      <c r="F534" s="7"/>
      <c r="G534" s="13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7"/>
      <c r="B535" s="7"/>
      <c r="C535" s="7"/>
      <c r="D535" s="7"/>
      <c r="E535" s="7"/>
      <c r="F535" s="7"/>
      <c r="G535" s="13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7"/>
      <c r="B536" s="7"/>
      <c r="C536" s="7"/>
      <c r="D536" s="7"/>
      <c r="E536" s="7"/>
      <c r="F536" s="7"/>
      <c r="G536" s="13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7"/>
      <c r="B537" s="7"/>
      <c r="C537" s="7"/>
      <c r="D537" s="7"/>
      <c r="E537" s="7"/>
      <c r="F537" s="7"/>
      <c r="G537" s="13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7"/>
      <c r="B538" s="7"/>
      <c r="C538" s="7"/>
      <c r="D538" s="7"/>
      <c r="E538" s="7"/>
      <c r="F538" s="7"/>
      <c r="G538" s="13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7"/>
      <c r="B539" s="7"/>
      <c r="C539" s="7"/>
      <c r="D539" s="7"/>
      <c r="E539" s="7"/>
      <c r="F539" s="7"/>
      <c r="G539" s="13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7"/>
      <c r="B540" s="7"/>
      <c r="C540" s="7"/>
      <c r="D540" s="7"/>
      <c r="E540" s="7"/>
      <c r="F540" s="7"/>
      <c r="G540" s="13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7"/>
      <c r="B541" s="7"/>
      <c r="C541" s="7"/>
      <c r="D541" s="7"/>
      <c r="E541" s="7"/>
      <c r="F541" s="7"/>
      <c r="G541" s="13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7"/>
      <c r="B542" s="7"/>
      <c r="C542" s="7"/>
      <c r="D542" s="7"/>
      <c r="E542" s="7"/>
      <c r="F542" s="7"/>
      <c r="G542" s="13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7"/>
      <c r="B543" s="7"/>
      <c r="C543" s="7"/>
      <c r="D543" s="7"/>
      <c r="E543" s="7"/>
      <c r="F543" s="7"/>
      <c r="G543" s="13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7"/>
      <c r="B544" s="7"/>
      <c r="C544" s="7"/>
      <c r="D544" s="7"/>
      <c r="E544" s="7"/>
      <c r="F544" s="7"/>
      <c r="G544" s="13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7"/>
      <c r="B545" s="7"/>
      <c r="C545" s="7"/>
      <c r="D545" s="7"/>
      <c r="E545" s="7"/>
      <c r="F545" s="7"/>
      <c r="G545" s="13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7"/>
      <c r="B546" s="7"/>
      <c r="C546" s="7"/>
      <c r="D546" s="7"/>
      <c r="E546" s="7"/>
      <c r="F546" s="7"/>
      <c r="G546" s="13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7"/>
      <c r="B547" s="7"/>
      <c r="C547" s="7"/>
      <c r="D547" s="7"/>
      <c r="E547" s="7"/>
      <c r="F547" s="7"/>
      <c r="G547" s="13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7"/>
      <c r="B548" s="7"/>
      <c r="C548" s="7"/>
      <c r="D548" s="7"/>
      <c r="E548" s="7"/>
      <c r="F548" s="7"/>
      <c r="G548" s="13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7"/>
      <c r="B549" s="7"/>
      <c r="C549" s="7"/>
      <c r="D549" s="7"/>
      <c r="E549" s="7"/>
      <c r="F549" s="7"/>
      <c r="G549" s="13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7"/>
      <c r="B550" s="7"/>
      <c r="C550" s="7"/>
      <c r="D550" s="7"/>
      <c r="E550" s="7"/>
      <c r="F550" s="7"/>
      <c r="G550" s="13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7"/>
      <c r="B551" s="7"/>
      <c r="C551" s="7"/>
      <c r="D551" s="7"/>
      <c r="E551" s="7"/>
      <c r="F551" s="7"/>
      <c r="G551" s="13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7"/>
      <c r="B552" s="7"/>
      <c r="C552" s="7"/>
      <c r="D552" s="7"/>
      <c r="E552" s="7"/>
      <c r="F552" s="7"/>
      <c r="G552" s="13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7"/>
      <c r="B553" s="7"/>
      <c r="C553" s="7"/>
      <c r="D553" s="7"/>
      <c r="E553" s="7"/>
      <c r="F553" s="7"/>
      <c r="G553" s="13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7"/>
      <c r="B554" s="7"/>
      <c r="C554" s="7"/>
      <c r="D554" s="7"/>
      <c r="E554" s="7"/>
      <c r="F554" s="7"/>
      <c r="G554" s="13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7"/>
      <c r="B555" s="7"/>
      <c r="C555" s="7"/>
      <c r="D555" s="7"/>
      <c r="E555" s="7"/>
      <c r="F555" s="7"/>
      <c r="G555" s="13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7"/>
      <c r="B556" s="7"/>
      <c r="C556" s="7"/>
      <c r="D556" s="7"/>
      <c r="E556" s="7"/>
      <c r="F556" s="7"/>
      <c r="G556" s="13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7"/>
      <c r="B557" s="7"/>
      <c r="C557" s="7"/>
      <c r="D557" s="7"/>
      <c r="E557" s="7"/>
      <c r="F557" s="7"/>
      <c r="G557" s="13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7"/>
      <c r="B558" s="7"/>
      <c r="C558" s="7"/>
      <c r="D558" s="7"/>
      <c r="E558" s="7"/>
      <c r="F558" s="7"/>
      <c r="G558" s="13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7"/>
      <c r="B559" s="7"/>
      <c r="C559" s="7"/>
      <c r="D559" s="7"/>
      <c r="E559" s="7"/>
      <c r="F559" s="7"/>
      <c r="G559" s="13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7"/>
      <c r="B560" s="7"/>
      <c r="C560" s="7"/>
      <c r="D560" s="7"/>
      <c r="E560" s="7"/>
      <c r="F560" s="7"/>
      <c r="G560" s="13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7"/>
      <c r="B561" s="7"/>
      <c r="C561" s="7"/>
      <c r="D561" s="7"/>
      <c r="E561" s="7"/>
      <c r="F561" s="7"/>
      <c r="G561" s="13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7"/>
      <c r="B562" s="7"/>
      <c r="C562" s="7"/>
      <c r="D562" s="7"/>
      <c r="E562" s="7"/>
      <c r="F562" s="7"/>
      <c r="G562" s="13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7"/>
      <c r="B563" s="7"/>
      <c r="C563" s="7"/>
      <c r="D563" s="7"/>
      <c r="E563" s="7"/>
      <c r="F563" s="7"/>
      <c r="G563" s="13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7"/>
      <c r="B564" s="7"/>
      <c r="C564" s="7"/>
      <c r="D564" s="7"/>
      <c r="E564" s="7"/>
      <c r="F564" s="7"/>
      <c r="G564" s="13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7"/>
      <c r="B565" s="7"/>
      <c r="C565" s="7"/>
      <c r="D565" s="7"/>
      <c r="E565" s="7"/>
      <c r="F565" s="7"/>
      <c r="G565" s="13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7"/>
      <c r="B566" s="7"/>
      <c r="C566" s="7"/>
      <c r="D566" s="7"/>
      <c r="E566" s="7"/>
      <c r="F566" s="7"/>
      <c r="G566" s="13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7"/>
      <c r="B567" s="7"/>
      <c r="C567" s="7"/>
      <c r="D567" s="7"/>
      <c r="E567" s="7"/>
      <c r="F567" s="7"/>
      <c r="G567" s="13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7"/>
      <c r="B568" s="7"/>
      <c r="C568" s="7"/>
      <c r="D568" s="7"/>
      <c r="E568" s="7"/>
      <c r="F568" s="7"/>
      <c r="G568" s="13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7"/>
      <c r="B569" s="7"/>
      <c r="C569" s="7"/>
      <c r="D569" s="7"/>
      <c r="E569" s="7"/>
      <c r="F569" s="7"/>
      <c r="G569" s="13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7"/>
      <c r="B570" s="7"/>
      <c r="C570" s="7"/>
      <c r="D570" s="7"/>
      <c r="E570" s="7"/>
      <c r="F570" s="7"/>
      <c r="G570" s="13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7"/>
      <c r="B571" s="7"/>
      <c r="C571" s="7"/>
      <c r="D571" s="7"/>
      <c r="E571" s="7"/>
      <c r="F571" s="7"/>
      <c r="G571" s="13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7"/>
      <c r="B572" s="7"/>
      <c r="C572" s="7"/>
      <c r="D572" s="7"/>
      <c r="E572" s="7"/>
      <c r="F572" s="7"/>
      <c r="G572" s="13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7"/>
      <c r="B573" s="7"/>
      <c r="C573" s="7"/>
      <c r="D573" s="7"/>
      <c r="E573" s="7"/>
      <c r="F573" s="7"/>
      <c r="G573" s="13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7"/>
      <c r="B574" s="7"/>
      <c r="C574" s="7"/>
      <c r="D574" s="7"/>
      <c r="E574" s="7"/>
      <c r="F574" s="7"/>
      <c r="G574" s="13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7"/>
      <c r="B575" s="7"/>
      <c r="C575" s="7"/>
      <c r="D575" s="7"/>
      <c r="E575" s="7"/>
      <c r="F575" s="7"/>
      <c r="G575" s="13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7"/>
      <c r="B576" s="7"/>
      <c r="C576" s="7"/>
      <c r="D576" s="7"/>
      <c r="E576" s="7"/>
      <c r="F576" s="7"/>
      <c r="G576" s="13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7"/>
      <c r="B577" s="7"/>
      <c r="C577" s="7"/>
      <c r="D577" s="7"/>
      <c r="E577" s="7"/>
      <c r="F577" s="7"/>
      <c r="G577" s="13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7"/>
      <c r="B578" s="7"/>
      <c r="C578" s="7"/>
      <c r="D578" s="7"/>
      <c r="E578" s="7"/>
      <c r="F578" s="7"/>
      <c r="G578" s="13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7"/>
      <c r="B579" s="7"/>
      <c r="C579" s="7"/>
      <c r="D579" s="7"/>
      <c r="E579" s="7"/>
      <c r="F579" s="7"/>
      <c r="G579" s="13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7"/>
      <c r="B580" s="7"/>
      <c r="C580" s="7"/>
      <c r="D580" s="7"/>
      <c r="E580" s="7"/>
      <c r="F580" s="7"/>
      <c r="G580" s="13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7"/>
      <c r="B581" s="7"/>
      <c r="C581" s="7"/>
      <c r="D581" s="7"/>
      <c r="E581" s="7"/>
      <c r="F581" s="7"/>
      <c r="G581" s="13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7"/>
      <c r="B582" s="7"/>
      <c r="C582" s="7"/>
      <c r="D582" s="7"/>
      <c r="E582" s="7"/>
      <c r="F582" s="7"/>
      <c r="G582" s="13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7"/>
      <c r="B583" s="7"/>
      <c r="C583" s="7"/>
      <c r="D583" s="7"/>
      <c r="E583" s="7"/>
      <c r="F583" s="7"/>
      <c r="G583" s="13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7"/>
      <c r="B584" s="7"/>
      <c r="C584" s="7"/>
      <c r="D584" s="7"/>
      <c r="E584" s="7"/>
      <c r="F584" s="7"/>
      <c r="G584" s="13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7"/>
      <c r="B585" s="7"/>
      <c r="C585" s="7"/>
      <c r="D585" s="7"/>
      <c r="E585" s="7"/>
      <c r="F585" s="7"/>
      <c r="G585" s="13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7"/>
      <c r="B586" s="7"/>
      <c r="C586" s="7"/>
      <c r="D586" s="7"/>
      <c r="E586" s="7"/>
      <c r="F586" s="7"/>
      <c r="G586" s="13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7"/>
      <c r="B587" s="7"/>
      <c r="C587" s="7"/>
      <c r="D587" s="7"/>
      <c r="E587" s="7"/>
      <c r="F587" s="7"/>
      <c r="G587" s="13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7"/>
      <c r="B588" s="7"/>
      <c r="C588" s="7"/>
      <c r="D588" s="7"/>
      <c r="E588" s="7"/>
      <c r="F588" s="7"/>
      <c r="G588" s="13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7"/>
      <c r="B589" s="7"/>
      <c r="C589" s="7"/>
      <c r="D589" s="7"/>
      <c r="E589" s="7"/>
      <c r="F589" s="7"/>
      <c r="G589" s="13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7"/>
      <c r="B590" s="7"/>
      <c r="C590" s="7"/>
      <c r="D590" s="7"/>
      <c r="E590" s="7"/>
      <c r="F590" s="7"/>
      <c r="G590" s="13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7"/>
      <c r="B591" s="7"/>
      <c r="C591" s="7"/>
      <c r="D591" s="7"/>
      <c r="E591" s="7"/>
      <c r="F591" s="7"/>
      <c r="G591" s="13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7"/>
      <c r="B592" s="7"/>
      <c r="C592" s="7"/>
      <c r="D592" s="7"/>
      <c r="E592" s="7"/>
      <c r="F592" s="7"/>
      <c r="G592" s="13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7"/>
      <c r="B593" s="7"/>
      <c r="C593" s="7"/>
      <c r="D593" s="7"/>
      <c r="E593" s="7"/>
      <c r="F593" s="7"/>
      <c r="G593" s="13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7"/>
      <c r="B594" s="7"/>
      <c r="C594" s="7"/>
      <c r="D594" s="7"/>
      <c r="E594" s="7"/>
      <c r="F594" s="7"/>
      <c r="G594" s="13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7"/>
      <c r="B595" s="7"/>
      <c r="C595" s="7"/>
      <c r="D595" s="7"/>
      <c r="E595" s="7"/>
      <c r="F595" s="7"/>
      <c r="G595" s="13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7"/>
      <c r="B596" s="7"/>
      <c r="C596" s="7"/>
      <c r="D596" s="7"/>
      <c r="E596" s="7"/>
      <c r="F596" s="7"/>
      <c r="G596" s="13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7"/>
      <c r="B597" s="7"/>
      <c r="C597" s="7"/>
      <c r="D597" s="7"/>
      <c r="E597" s="7"/>
      <c r="F597" s="7"/>
      <c r="G597" s="13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7"/>
      <c r="B598" s="7"/>
      <c r="C598" s="7"/>
      <c r="D598" s="7"/>
      <c r="E598" s="7"/>
      <c r="F598" s="7"/>
      <c r="G598" s="13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7"/>
      <c r="B599" s="7"/>
      <c r="C599" s="7"/>
      <c r="D599" s="7"/>
      <c r="E599" s="7"/>
      <c r="F599" s="7"/>
      <c r="G599" s="13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7"/>
      <c r="B600" s="7"/>
      <c r="C600" s="7"/>
      <c r="D600" s="7"/>
      <c r="E600" s="7"/>
      <c r="F600" s="7"/>
      <c r="G600" s="13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7"/>
      <c r="B601" s="7"/>
      <c r="C601" s="7"/>
      <c r="D601" s="7"/>
      <c r="E601" s="7"/>
      <c r="F601" s="7"/>
      <c r="G601" s="13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7"/>
      <c r="B602" s="7"/>
      <c r="C602" s="7"/>
      <c r="D602" s="7"/>
      <c r="E602" s="7"/>
      <c r="F602" s="7"/>
      <c r="G602" s="13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7"/>
      <c r="B603" s="7"/>
      <c r="C603" s="7"/>
      <c r="D603" s="7"/>
      <c r="E603" s="7"/>
      <c r="F603" s="7"/>
      <c r="G603" s="13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7"/>
      <c r="B604" s="7"/>
      <c r="C604" s="7"/>
      <c r="D604" s="7"/>
      <c r="E604" s="7"/>
      <c r="F604" s="7"/>
      <c r="G604" s="13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7"/>
      <c r="B605" s="7"/>
      <c r="C605" s="7"/>
      <c r="D605" s="7"/>
      <c r="E605" s="7"/>
      <c r="F605" s="7"/>
      <c r="G605" s="13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7"/>
      <c r="B606" s="7"/>
      <c r="C606" s="7"/>
      <c r="D606" s="7"/>
      <c r="E606" s="7"/>
      <c r="F606" s="7"/>
      <c r="G606" s="13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7"/>
      <c r="B607" s="7"/>
      <c r="C607" s="7"/>
      <c r="D607" s="7"/>
      <c r="E607" s="7"/>
      <c r="F607" s="7"/>
      <c r="G607" s="13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7"/>
      <c r="B608" s="7"/>
      <c r="C608" s="7"/>
      <c r="D608" s="7"/>
      <c r="E608" s="7"/>
      <c r="F608" s="7"/>
      <c r="G608" s="13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7"/>
      <c r="B609" s="7"/>
      <c r="C609" s="7"/>
      <c r="D609" s="7"/>
      <c r="E609" s="7"/>
      <c r="F609" s="7"/>
      <c r="G609" s="13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7"/>
      <c r="B610" s="7"/>
      <c r="C610" s="7"/>
      <c r="D610" s="7"/>
      <c r="E610" s="7"/>
      <c r="F610" s="7"/>
      <c r="G610" s="13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7"/>
      <c r="B611" s="7"/>
      <c r="C611" s="7"/>
      <c r="D611" s="7"/>
      <c r="E611" s="7"/>
      <c r="F611" s="7"/>
      <c r="G611" s="13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7"/>
      <c r="B612" s="7"/>
      <c r="C612" s="7"/>
      <c r="D612" s="7"/>
      <c r="E612" s="7"/>
      <c r="F612" s="7"/>
      <c r="G612" s="13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7"/>
      <c r="B613" s="7"/>
      <c r="C613" s="7"/>
      <c r="D613" s="7"/>
      <c r="E613" s="7"/>
      <c r="F613" s="7"/>
      <c r="G613" s="13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7"/>
      <c r="B614" s="7"/>
      <c r="C614" s="7"/>
      <c r="D614" s="7"/>
      <c r="E614" s="7"/>
      <c r="F614" s="7"/>
      <c r="G614" s="13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7"/>
      <c r="B615" s="7"/>
      <c r="C615" s="7"/>
      <c r="D615" s="7"/>
      <c r="E615" s="7"/>
      <c r="F615" s="7"/>
      <c r="G615" s="13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7"/>
      <c r="B616" s="7"/>
      <c r="C616" s="7"/>
      <c r="D616" s="7"/>
      <c r="E616" s="7"/>
      <c r="F616" s="7"/>
      <c r="G616" s="13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7"/>
      <c r="B617" s="7"/>
      <c r="C617" s="7"/>
      <c r="D617" s="7"/>
      <c r="E617" s="7"/>
      <c r="F617" s="7"/>
      <c r="G617" s="13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7"/>
      <c r="B618" s="7"/>
      <c r="C618" s="7"/>
      <c r="D618" s="7"/>
      <c r="E618" s="7"/>
      <c r="F618" s="7"/>
      <c r="G618" s="13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7"/>
      <c r="B619" s="7"/>
      <c r="C619" s="7"/>
      <c r="D619" s="7"/>
      <c r="E619" s="7"/>
      <c r="F619" s="7"/>
      <c r="G619" s="13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7"/>
      <c r="B620" s="7"/>
      <c r="C620" s="7"/>
      <c r="D620" s="7"/>
      <c r="E620" s="7"/>
      <c r="F620" s="7"/>
      <c r="G620" s="13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7"/>
      <c r="B621" s="7"/>
      <c r="C621" s="7"/>
      <c r="D621" s="7"/>
      <c r="E621" s="7"/>
      <c r="F621" s="7"/>
      <c r="G621" s="13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7"/>
      <c r="B622" s="7"/>
      <c r="C622" s="7"/>
      <c r="D622" s="7"/>
      <c r="E622" s="7"/>
      <c r="F622" s="7"/>
      <c r="G622" s="13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7"/>
      <c r="B623" s="7"/>
      <c r="C623" s="7"/>
      <c r="D623" s="7"/>
      <c r="E623" s="7"/>
      <c r="F623" s="7"/>
      <c r="G623" s="13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7"/>
      <c r="B624" s="7"/>
      <c r="C624" s="7"/>
      <c r="D624" s="7"/>
      <c r="E624" s="7"/>
      <c r="F624" s="7"/>
      <c r="G624" s="13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7"/>
      <c r="B625" s="7"/>
      <c r="C625" s="7"/>
      <c r="D625" s="7"/>
      <c r="E625" s="7"/>
      <c r="F625" s="7"/>
      <c r="G625" s="13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7"/>
      <c r="B626" s="7"/>
      <c r="C626" s="7"/>
      <c r="D626" s="7"/>
      <c r="E626" s="7"/>
      <c r="F626" s="7"/>
      <c r="G626" s="13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7"/>
      <c r="B627" s="7"/>
      <c r="C627" s="7"/>
      <c r="D627" s="7"/>
      <c r="E627" s="7"/>
      <c r="F627" s="7"/>
      <c r="G627" s="13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7"/>
      <c r="B628" s="7"/>
      <c r="C628" s="7"/>
      <c r="D628" s="7"/>
      <c r="E628" s="7"/>
      <c r="F628" s="7"/>
      <c r="G628" s="13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7"/>
      <c r="B629" s="7"/>
      <c r="C629" s="7"/>
      <c r="D629" s="7"/>
      <c r="E629" s="7"/>
      <c r="F629" s="7"/>
      <c r="G629" s="13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7"/>
      <c r="B630" s="7"/>
      <c r="C630" s="7"/>
      <c r="D630" s="7"/>
      <c r="E630" s="7"/>
      <c r="F630" s="7"/>
      <c r="G630" s="13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7"/>
      <c r="B631" s="7"/>
      <c r="C631" s="7"/>
      <c r="D631" s="7"/>
      <c r="E631" s="7"/>
      <c r="F631" s="7"/>
      <c r="G631" s="13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7"/>
      <c r="B632" s="7"/>
      <c r="C632" s="7"/>
      <c r="D632" s="7"/>
      <c r="E632" s="7"/>
      <c r="F632" s="7"/>
      <c r="G632" s="13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7"/>
      <c r="B633" s="7"/>
      <c r="C633" s="7"/>
      <c r="D633" s="7"/>
      <c r="E633" s="7"/>
      <c r="F633" s="7"/>
      <c r="G633" s="13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7"/>
      <c r="B634" s="7"/>
      <c r="C634" s="7"/>
      <c r="D634" s="7"/>
      <c r="E634" s="7"/>
      <c r="F634" s="7"/>
      <c r="G634" s="13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7"/>
      <c r="B635" s="7"/>
      <c r="C635" s="7"/>
      <c r="D635" s="7"/>
      <c r="E635" s="7"/>
      <c r="F635" s="7"/>
      <c r="G635" s="13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7"/>
      <c r="B636" s="7"/>
      <c r="C636" s="7"/>
      <c r="D636" s="7"/>
      <c r="E636" s="7"/>
      <c r="F636" s="7"/>
      <c r="G636" s="13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7"/>
      <c r="B637" s="7"/>
      <c r="C637" s="7"/>
      <c r="D637" s="7"/>
      <c r="E637" s="7"/>
      <c r="F637" s="7"/>
      <c r="G637" s="13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7"/>
      <c r="B638" s="7"/>
      <c r="C638" s="7"/>
      <c r="D638" s="7"/>
      <c r="E638" s="7"/>
      <c r="F638" s="7"/>
      <c r="G638" s="13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7"/>
      <c r="B639" s="7"/>
      <c r="C639" s="7"/>
      <c r="D639" s="7"/>
      <c r="E639" s="7"/>
      <c r="F639" s="7"/>
      <c r="G639" s="13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7"/>
      <c r="B640" s="7"/>
      <c r="C640" s="7"/>
      <c r="D640" s="7"/>
      <c r="E640" s="7"/>
      <c r="F640" s="7"/>
      <c r="G640" s="13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7"/>
      <c r="B641" s="7"/>
      <c r="C641" s="7"/>
      <c r="D641" s="7"/>
      <c r="E641" s="7"/>
      <c r="F641" s="7"/>
      <c r="G641" s="13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7"/>
      <c r="B642" s="7"/>
      <c r="C642" s="7"/>
      <c r="D642" s="7"/>
      <c r="E642" s="7"/>
      <c r="F642" s="7"/>
      <c r="G642" s="13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7"/>
      <c r="B643" s="7"/>
      <c r="C643" s="7"/>
      <c r="D643" s="7"/>
      <c r="E643" s="7"/>
      <c r="F643" s="7"/>
      <c r="G643" s="13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7"/>
      <c r="B644" s="7"/>
      <c r="C644" s="7"/>
      <c r="D644" s="7"/>
      <c r="E644" s="7"/>
      <c r="F644" s="7"/>
      <c r="G644" s="13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7"/>
      <c r="B645" s="7"/>
      <c r="C645" s="7"/>
      <c r="D645" s="7"/>
      <c r="E645" s="7"/>
      <c r="F645" s="7"/>
      <c r="G645" s="13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7"/>
      <c r="B646" s="7"/>
      <c r="C646" s="7"/>
      <c r="D646" s="7"/>
      <c r="E646" s="7"/>
      <c r="F646" s="7"/>
      <c r="G646" s="13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7"/>
      <c r="B647" s="7"/>
      <c r="C647" s="7"/>
      <c r="D647" s="7"/>
      <c r="E647" s="7"/>
      <c r="F647" s="7"/>
      <c r="G647" s="13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7"/>
      <c r="B648" s="7"/>
      <c r="C648" s="7"/>
      <c r="D648" s="7"/>
      <c r="E648" s="7"/>
      <c r="F648" s="7"/>
      <c r="G648" s="13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7"/>
      <c r="B649" s="7"/>
      <c r="C649" s="7"/>
      <c r="D649" s="7"/>
      <c r="E649" s="7"/>
      <c r="F649" s="7"/>
      <c r="G649" s="13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7"/>
      <c r="B650" s="7"/>
      <c r="C650" s="7"/>
      <c r="D650" s="7"/>
      <c r="E650" s="7"/>
      <c r="F650" s="7"/>
      <c r="G650" s="13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7"/>
      <c r="B651" s="7"/>
      <c r="C651" s="7"/>
      <c r="D651" s="7"/>
      <c r="E651" s="7"/>
      <c r="F651" s="7"/>
      <c r="G651" s="13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7"/>
      <c r="B652" s="7"/>
      <c r="C652" s="7"/>
      <c r="D652" s="7"/>
      <c r="E652" s="7"/>
      <c r="F652" s="7"/>
      <c r="G652" s="13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7"/>
      <c r="B653" s="7"/>
      <c r="C653" s="7"/>
      <c r="D653" s="7"/>
      <c r="E653" s="7"/>
      <c r="F653" s="7"/>
      <c r="G653" s="13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7"/>
      <c r="B654" s="7"/>
      <c r="C654" s="7"/>
      <c r="D654" s="7"/>
      <c r="E654" s="7"/>
      <c r="F654" s="7"/>
      <c r="G654" s="13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7"/>
      <c r="B655" s="7"/>
      <c r="C655" s="7"/>
      <c r="D655" s="7"/>
      <c r="E655" s="7"/>
      <c r="F655" s="7"/>
      <c r="G655" s="13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7"/>
      <c r="B656" s="7"/>
      <c r="C656" s="7"/>
      <c r="D656" s="7"/>
      <c r="E656" s="7"/>
      <c r="F656" s="7"/>
      <c r="G656" s="13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7"/>
      <c r="B657" s="7"/>
      <c r="C657" s="7"/>
      <c r="D657" s="7"/>
      <c r="E657" s="7"/>
      <c r="F657" s="7"/>
      <c r="G657" s="13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7"/>
      <c r="B658" s="7"/>
      <c r="C658" s="7"/>
      <c r="D658" s="7"/>
      <c r="E658" s="7"/>
      <c r="F658" s="7"/>
      <c r="G658" s="13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7"/>
      <c r="B659" s="7"/>
      <c r="C659" s="7"/>
      <c r="D659" s="7"/>
      <c r="E659" s="7"/>
      <c r="F659" s="7"/>
      <c r="G659" s="13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7"/>
      <c r="B660" s="7"/>
      <c r="C660" s="7"/>
      <c r="D660" s="7"/>
      <c r="E660" s="7"/>
      <c r="F660" s="7"/>
      <c r="G660" s="13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7"/>
      <c r="B661" s="7"/>
      <c r="C661" s="7"/>
      <c r="D661" s="7"/>
      <c r="E661" s="7"/>
      <c r="F661" s="7"/>
      <c r="G661" s="13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7"/>
      <c r="B662" s="7"/>
      <c r="C662" s="7"/>
      <c r="D662" s="7"/>
      <c r="E662" s="7"/>
      <c r="F662" s="7"/>
      <c r="G662" s="13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7"/>
      <c r="B663" s="7"/>
      <c r="C663" s="7"/>
      <c r="D663" s="7"/>
      <c r="E663" s="7"/>
      <c r="F663" s="7"/>
      <c r="G663" s="13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7"/>
      <c r="B664" s="7"/>
      <c r="C664" s="7"/>
      <c r="D664" s="7"/>
      <c r="E664" s="7"/>
      <c r="F664" s="7"/>
      <c r="G664" s="13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7"/>
      <c r="B665" s="7"/>
      <c r="C665" s="7"/>
      <c r="D665" s="7"/>
      <c r="E665" s="7"/>
      <c r="F665" s="7"/>
      <c r="G665" s="13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7"/>
      <c r="B666" s="7"/>
      <c r="C666" s="7"/>
      <c r="D666" s="7"/>
      <c r="E666" s="7"/>
      <c r="F666" s="7"/>
      <c r="G666" s="13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7"/>
      <c r="B667" s="7"/>
      <c r="C667" s="7"/>
      <c r="D667" s="7"/>
      <c r="E667" s="7"/>
      <c r="F667" s="7"/>
      <c r="G667" s="13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7"/>
      <c r="B668" s="7"/>
      <c r="C668" s="7"/>
      <c r="D668" s="7"/>
      <c r="E668" s="7"/>
      <c r="F668" s="7"/>
      <c r="G668" s="13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7"/>
      <c r="B669" s="7"/>
      <c r="C669" s="7"/>
      <c r="D669" s="7"/>
      <c r="E669" s="7"/>
      <c r="F669" s="7"/>
      <c r="G669" s="13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7"/>
      <c r="B670" s="7"/>
      <c r="C670" s="7"/>
      <c r="D670" s="7"/>
      <c r="E670" s="7"/>
      <c r="F670" s="7"/>
      <c r="G670" s="13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7"/>
      <c r="B671" s="7"/>
      <c r="C671" s="7"/>
      <c r="D671" s="7"/>
      <c r="E671" s="7"/>
      <c r="F671" s="7"/>
      <c r="G671" s="13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7"/>
      <c r="B672" s="7"/>
      <c r="C672" s="7"/>
      <c r="D672" s="7"/>
      <c r="E672" s="7"/>
      <c r="F672" s="7"/>
      <c r="G672" s="13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7"/>
      <c r="B673" s="7"/>
      <c r="C673" s="7"/>
      <c r="D673" s="7"/>
      <c r="E673" s="7"/>
      <c r="F673" s="7"/>
      <c r="G673" s="13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7"/>
      <c r="B674" s="7"/>
      <c r="C674" s="7"/>
      <c r="D674" s="7"/>
      <c r="E674" s="7"/>
      <c r="F674" s="7"/>
      <c r="G674" s="13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7"/>
      <c r="B675" s="7"/>
      <c r="C675" s="7"/>
      <c r="D675" s="7"/>
      <c r="E675" s="7"/>
      <c r="F675" s="7"/>
      <c r="G675" s="13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7"/>
      <c r="B676" s="7"/>
      <c r="C676" s="7"/>
      <c r="D676" s="7"/>
      <c r="E676" s="7"/>
      <c r="F676" s="7"/>
      <c r="G676" s="13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7"/>
      <c r="B677" s="7"/>
      <c r="C677" s="7"/>
      <c r="D677" s="7"/>
      <c r="E677" s="7"/>
      <c r="F677" s="7"/>
      <c r="G677" s="13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7"/>
      <c r="B678" s="7"/>
      <c r="C678" s="7"/>
      <c r="D678" s="7"/>
      <c r="E678" s="7"/>
      <c r="F678" s="7"/>
      <c r="G678" s="13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7"/>
      <c r="B679" s="7"/>
      <c r="C679" s="7"/>
      <c r="D679" s="7"/>
      <c r="E679" s="7"/>
      <c r="F679" s="7"/>
      <c r="G679" s="13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7"/>
      <c r="B680" s="7"/>
      <c r="C680" s="7"/>
      <c r="D680" s="7"/>
      <c r="E680" s="7"/>
      <c r="F680" s="7"/>
      <c r="G680" s="13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7"/>
      <c r="B681" s="7"/>
      <c r="C681" s="7"/>
      <c r="D681" s="7"/>
      <c r="E681" s="7"/>
      <c r="F681" s="7"/>
      <c r="G681" s="13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7"/>
      <c r="B682" s="7"/>
      <c r="C682" s="7"/>
      <c r="D682" s="7"/>
      <c r="E682" s="7"/>
      <c r="F682" s="7"/>
      <c r="G682" s="13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7"/>
      <c r="B683" s="7"/>
      <c r="C683" s="7"/>
      <c r="D683" s="7"/>
      <c r="E683" s="7"/>
      <c r="F683" s="7"/>
      <c r="G683" s="13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7"/>
      <c r="B684" s="7"/>
      <c r="C684" s="7"/>
      <c r="D684" s="7"/>
      <c r="E684" s="7"/>
      <c r="F684" s="7"/>
      <c r="G684" s="13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7"/>
      <c r="B685" s="7"/>
      <c r="C685" s="7"/>
      <c r="D685" s="7"/>
      <c r="E685" s="7"/>
      <c r="F685" s="7"/>
      <c r="G685" s="13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7"/>
      <c r="B686" s="7"/>
      <c r="C686" s="7"/>
      <c r="D686" s="7"/>
      <c r="E686" s="7"/>
      <c r="F686" s="7"/>
      <c r="G686" s="13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7"/>
      <c r="B687" s="7"/>
      <c r="C687" s="7"/>
      <c r="D687" s="7"/>
      <c r="E687" s="7"/>
      <c r="F687" s="7"/>
      <c r="G687" s="13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7"/>
      <c r="B688" s="7"/>
      <c r="C688" s="7"/>
      <c r="D688" s="7"/>
      <c r="E688" s="7"/>
      <c r="F688" s="7"/>
      <c r="G688" s="13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7"/>
      <c r="B689" s="7"/>
      <c r="C689" s="7"/>
      <c r="D689" s="7"/>
      <c r="E689" s="7"/>
      <c r="F689" s="7"/>
      <c r="G689" s="13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7"/>
      <c r="B690" s="7"/>
      <c r="C690" s="7"/>
      <c r="D690" s="7"/>
      <c r="E690" s="7"/>
      <c r="F690" s="7"/>
      <c r="G690" s="13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7"/>
      <c r="B691" s="7"/>
      <c r="C691" s="7"/>
      <c r="D691" s="7"/>
      <c r="E691" s="7"/>
      <c r="F691" s="7"/>
      <c r="G691" s="13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7"/>
      <c r="B692" s="7"/>
      <c r="C692" s="7"/>
      <c r="D692" s="7"/>
      <c r="E692" s="7"/>
      <c r="F692" s="7"/>
      <c r="G692" s="13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7"/>
      <c r="B693" s="7"/>
      <c r="C693" s="7"/>
      <c r="D693" s="7"/>
      <c r="E693" s="7"/>
      <c r="F693" s="7"/>
      <c r="G693" s="13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7"/>
      <c r="B694" s="7"/>
      <c r="C694" s="7"/>
      <c r="D694" s="7"/>
      <c r="E694" s="7"/>
      <c r="F694" s="7"/>
      <c r="G694" s="13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7"/>
      <c r="B695" s="7"/>
      <c r="C695" s="7"/>
      <c r="D695" s="7"/>
      <c r="E695" s="7"/>
      <c r="F695" s="7"/>
      <c r="G695" s="13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7"/>
      <c r="B696" s="7"/>
      <c r="C696" s="7"/>
      <c r="D696" s="7"/>
      <c r="E696" s="7"/>
      <c r="F696" s="7"/>
      <c r="G696" s="13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7"/>
      <c r="B697" s="7"/>
      <c r="C697" s="7"/>
      <c r="D697" s="7"/>
      <c r="E697" s="7"/>
      <c r="F697" s="7"/>
      <c r="G697" s="13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7"/>
      <c r="B698" s="7"/>
      <c r="C698" s="7"/>
      <c r="D698" s="7"/>
      <c r="E698" s="7"/>
      <c r="F698" s="7"/>
      <c r="G698" s="13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7"/>
      <c r="B699" s="7"/>
      <c r="C699" s="7"/>
      <c r="D699" s="7"/>
      <c r="E699" s="7"/>
      <c r="F699" s="7"/>
      <c r="G699" s="13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7"/>
      <c r="B700" s="7"/>
      <c r="C700" s="7"/>
      <c r="D700" s="7"/>
      <c r="E700" s="7"/>
      <c r="F700" s="7"/>
      <c r="G700" s="13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7"/>
      <c r="B701" s="7"/>
      <c r="C701" s="7"/>
      <c r="D701" s="7"/>
      <c r="E701" s="7"/>
      <c r="F701" s="7"/>
      <c r="G701" s="13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7"/>
      <c r="B702" s="7"/>
      <c r="C702" s="7"/>
      <c r="D702" s="7"/>
      <c r="E702" s="7"/>
      <c r="F702" s="7"/>
      <c r="G702" s="13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7"/>
      <c r="B703" s="7"/>
      <c r="C703" s="7"/>
      <c r="D703" s="7"/>
      <c r="E703" s="7"/>
      <c r="F703" s="7"/>
      <c r="G703" s="13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7"/>
      <c r="B704" s="7"/>
      <c r="C704" s="7"/>
      <c r="D704" s="7"/>
      <c r="E704" s="7"/>
      <c r="F704" s="7"/>
      <c r="G704" s="13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7"/>
      <c r="B705" s="7"/>
      <c r="C705" s="7"/>
      <c r="D705" s="7"/>
      <c r="E705" s="7"/>
      <c r="F705" s="7"/>
      <c r="G705" s="13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7"/>
      <c r="B706" s="7"/>
      <c r="C706" s="7"/>
      <c r="D706" s="7"/>
      <c r="E706" s="7"/>
      <c r="F706" s="7"/>
      <c r="G706" s="13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7"/>
      <c r="B707" s="7"/>
      <c r="C707" s="7"/>
      <c r="D707" s="7"/>
      <c r="E707" s="7"/>
      <c r="F707" s="7"/>
      <c r="G707" s="13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7"/>
      <c r="B708" s="7"/>
      <c r="C708" s="7"/>
      <c r="D708" s="7"/>
      <c r="E708" s="7"/>
      <c r="F708" s="7"/>
      <c r="G708" s="13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7"/>
      <c r="B709" s="7"/>
      <c r="C709" s="7"/>
      <c r="D709" s="7"/>
      <c r="E709" s="7"/>
      <c r="F709" s="7"/>
      <c r="G709" s="13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7"/>
      <c r="B710" s="7"/>
      <c r="C710" s="7"/>
      <c r="D710" s="7"/>
      <c r="E710" s="7"/>
      <c r="F710" s="7"/>
      <c r="G710" s="13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7"/>
      <c r="B711" s="7"/>
      <c r="C711" s="7"/>
      <c r="D711" s="7"/>
      <c r="E711" s="7"/>
      <c r="F711" s="7"/>
      <c r="G711" s="13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7"/>
      <c r="B712" s="7"/>
      <c r="C712" s="7"/>
      <c r="D712" s="7"/>
      <c r="E712" s="7"/>
      <c r="F712" s="7"/>
      <c r="G712" s="13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7"/>
      <c r="B713" s="7"/>
      <c r="C713" s="7"/>
      <c r="D713" s="7"/>
      <c r="E713" s="7"/>
      <c r="F713" s="7"/>
      <c r="G713" s="13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7"/>
      <c r="B714" s="7"/>
      <c r="C714" s="7"/>
      <c r="D714" s="7"/>
      <c r="E714" s="7"/>
      <c r="F714" s="7"/>
      <c r="G714" s="13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7"/>
      <c r="B715" s="7"/>
      <c r="C715" s="7"/>
      <c r="D715" s="7"/>
      <c r="E715" s="7"/>
      <c r="F715" s="7"/>
      <c r="G715" s="13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7"/>
      <c r="B716" s="7"/>
      <c r="C716" s="7"/>
      <c r="D716" s="7"/>
      <c r="E716" s="7"/>
      <c r="F716" s="7"/>
      <c r="G716" s="13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7"/>
      <c r="B717" s="7"/>
      <c r="C717" s="7"/>
      <c r="D717" s="7"/>
      <c r="E717" s="7"/>
      <c r="F717" s="7"/>
      <c r="G717" s="13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7"/>
      <c r="B718" s="7"/>
      <c r="C718" s="7"/>
      <c r="D718" s="7"/>
      <c r="E718" s="7"/>
      <c r="F718" s="7"/>
      <c r="G718" s="13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7"/>
      <c r="B719" s="7"/>
      <c r="C719" s="7"/>
      <c r="D719" s="7"/>
      <c r="E719" s="7"/>
      <c r="F719" s="7"/>
      <c r="G719" s="13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7"/>
      <c r="B720" s="7"/>
      <c r="C720" s="7"/>
      <c r="D720" s="7"/>
      <c r="E720" s="7"/>
      <c r="F720" s="7"/>
      <c r="G720" s="13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7"/>
      <c r="B721" s="7"/>
      <c r="C721" s="7"/>
      <c r="D721" s="7"/>
      <c r="E721" s="7"/>
      <c r="F721" s="7"/>
      <c r="G721" s="13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7"/>
      <c r="B722" s="7"/>
      <c r="C722" s="7"/>
      <c r="D722" s="7"/>
      <c r="E722" s="7"/>
      <c r="F722" s="7"/>
      <c r="G722" s="13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7"/>
      <c r="B723" s="7"/>
      <c r="C723" s="7"/>
      <c r="D723" s="7"/>
      <c r="E723" s="7"/>
      <c r="F723" s="7"/>
      <c r="G723" s="13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7"/>
      <c r="B724" s="7"/>
      <c r="C724" s="7"/>
      <c r="D724" s="7"/>
      <c r="E724" s="7"/>
      <c r="F724" s="7"/>
      <c r="G724" s="13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7"/>
      <c r="B725" s="7"/>
      <c r="C725" s="7"/>
      <c r="D725" s="7"/>
      <c r="E725" s="7"/>
      <c r="F725" s="7"/>
      <c r="G725" s="13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7"/>
      <c r="B726" s="7"/>
      <c r="C726" s="7"/>
      <c r="D726" s="7"/>
      <c r="E726" s="7"/>
      <c r="F726" s="7"/>
      <c r="G726" s="13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7"/>
      <c r="B727" s="7"/>
      <c r="C727" s="7"/>
      <c r="D727" s="7"/>
      <c r="E727" s="7"/>
      <c r="F727" s="7"/>
      <c r="G727" s="13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7"/>
      <c r="B728" s="7"/>
      <c r="C728" s="7"/>
      <c r="D728" s="7"/>
      <c r="E728" s="7"/>
      <c r="F728" s="7"/>
      <c r="G728" s="13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7"/>
      <c r="B729" s="7"/>
      <c r="C729" s="7"/>
      <c r="D729" s="7"/>
      <c r="E729" s="7"/>
      <c r="F729" s="7"/>
      <c r="G729" s="13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7"/>
      <c r="B730" s="7"/>
      <c r="C730" s="7"/>
      <c r="D730" s="7"/>
      <c r="E730" s="7"/>
      <c r="F730" s="7"/>
      <c r="G730" s="13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7"/>
      <c r="B731" s="7"/>
      <c r="C731" s="7"/>
      <c r="D731" s="7"/>
      <c r="E731" s="7"/>
      <c r="F731" s="7"/>
      <c r="G731" s="13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7"/>
      <c r="B732" s="7"/>
      <c r="C732" s="7"/>
      <c r="D732" s="7"/>
      <c r="E732" s="7"/>
      <c r="F732" s="7"/>
      <c r="G732" s="13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7"/>
      <c r="B733" s="7"/>
      <c r="C733" s="7"/>
      <c r="D733" s="7"/>
      <c r="E733" s="7"/>
      <c r="F733" s="7"/>
      <c r="G733" s="13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7"/>
      <c r="B734" s="7"/>
      <c r="C734" s="7"/>
      <c r="D734" s="7"/>
      <c r="E734" s="7"/>
      <c r="F734" s="7"/>
      <c r="G734" s="13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7"/>
      <c r="B735" s="7"/>
      <c r="C735" s="7"/>
      <c r="D735" s="7"/>
      <c r="E735" s="7"/>
      <c r="F735" s="7"/>
      <c r="G735" s="13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7"/>
      <c r="B736" s="7"/>
      <c r="C736" s="7"/>
      <c r="D736" s="7"/>
      <c r="E736" s="7"/>
      <c r="F736" s="7"/>
      <c r="G736" s="13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7"/>
      <c r="B737" s="7"/>
      <c r="C737" s="7"/>
      <c r="D737" s="7"/>
      <c r="E737" s="7"/>
      <c r="F737" s="7"/>
      <c r="G737" s="13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7"/>
      <c r="B738" s="7"/>
      <c r="C738" s="7"/>
      <c r="D738" s="7"/>
      <c r="E738" s="7"/>
      <c r="F738" s="7"/>
      <c r="G738" s="13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7"/>
      <c r="B739" s="7"/>
      <c r="C739" s="7"/>
      <c r="D739" s="7"/>
      <c r="E739" s="7"/>
      <c r="F739" s="7"/>
      <c r="G739" s="13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7"/>
      <c r="B740" s="7"/>
      <c r="C740" s="7"/>
      <c r="D740" s="7"/>
      <c r="E740" s="7"/>
      <c r="F740" s="7"/>
      <c r="G740" s="13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7"/>
      <c r="B741" s="7"/>
      <c r="C741" s="7"/>
      <c r="D741" s="7"/>
      <c r="E741" s="7"/>
      <c r="F741" s="7"/>
      <c r="G741" s="13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7"/>
      <c r="B742" s="7"/>
      <c r="C742" s="7"/>
      <c r="D742" s="7"/>
      <c r="E742" s="7"/>
      <c r="F742" s="7"/>
      <c r="G742" s="13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7"/>
      <c r="B743" s="7"/>
      <c r="C743" s="7"/>
      <c r="D743" s="7"/>
      <c r="E743" s="7"/>
      <c r="F743" s="7"/>
      <c r="G743" s="13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7"/>
      <c r="B744" s="7"/>
      <c r="C744" s="7"/>
      <c r="D744" s="7"/>
      <c r="E744" s="7"/>
      <c r="F744" s="7"/>
      <c r="G744" s="13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7"/>
      <c r="B745" s="7"/>
      <c r="C745" s="7"/>
      <c r="D745" s="7"/>
      <c r="E745" s="7"/>
      <c r="F745" s="7"/>
      <c r="G745" s="13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7"/>
      <c r="B746" s="7"/>
      <c r="C746" s="7"/>
      <c r="D746" s="7"/>
      <c r="E746" s="7"/>
      <c r="F746" s="7"/>
      <c r="G746" s="13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7"/>
      <c r="B747" s="7"/>
      <c r="C747" s="7"/>
      <c r="D747" s="7"/>
      <c r="E747" s="7"/>
      <c r="F747" s="7"/>
      <c r="G747" s="13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7"/>
      <c r="B748" s="7"/>
      <c r="C748" s="7"/>
      <c r="D748" s="7"/>
      <c r="E748" s="7"/>
      <c r="F748" s="7"/>
      <c r="G748" s="13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7"/>
      <c r="B749" s="7"/>
      <c r="C749" s="7"/>
      <c r="D749" s="7"/>
      <c r="E749" s="7"/>
      <c r="F749" s="7"/>
      <c r="G749" s="13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7"/>
      <c r="B750" s="7"/>
      <c r="C750" s="7"/>
      <c r="D750" s="7"/>
      <c r="E750" s="7"/>
      <c r="F750" s="7"/>
      <c r="G750" s="13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7"/>
      <c r="B751" s="7"/>
      <c r="C751" s="7"/>
      <c r="D751" s="7"/>
      <c r="E751" s="7"/>
      <c r="F751" s="7"/>
      <c r="G751" s="13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7"/>
      <c r="B752" s="7"/>
      <c r="C752" s="7"/>
      <c r="D752" s="7"/>
      <c r="E752" s="7"/>
      <c r="F752" s="7"/>
      <c r="G752" s="13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7"/>
      <c r="B753" s="7"/>
      <c r="C753" s="7"/>
      <c r="D753" s="7"/>
      <c r="E753" s="7"/>
      <c r="F753" s="7"/>
      <c r="G753" s="13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7"/>
      <c r="B754" s="7"/>
      <c r="C754" s="7"/>
      <c r="D754" s="7"/>
      <c r="E754" s="7"/>
      <c r="F754" s="7"/>
      <c r="G754" s="13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7"/>
      <c r="B755" s="7"/>
      <c r="C755" s="7"/>
      <c r="D755" s="7"/>
      <c r="E755" s="7"/>
      <c r="F755" s="7"/>
      <c r="G755" s="13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7"/>
      <c r="B756" s="7"/>
      <c r="C756" s="7"/>
      <c r="D756" s="7"/>
      <c r="E756" s="7"/>
      <c r="F756" s="7"/>
      <c r="G756" s="13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7"/>
      <c r="B757" s="7"/>
      <c r="C757" s="7"/>
      <c r="D757" s="7"/>
      <c r="E757" s="7"/>
      <c r="F757" s="7"/>
      <c r="G757" s="13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7"/>
      <c r="B758" s="7"/>
      <c r="C758" s="7"/>
      <c r="D758" s="7"/>
      <c r="E758" s="7"/>
      <c r="F758" s="7"/>
      <c r="G758" s="13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7"/>
      <c r="B759" s="7"/>
      <c r="C759" s="7"/>
      <c r="D759" s="7"/>
      <c r="E759" s="7"/>
      <c r="F759" s="7"/>
      <c r="G759" s="13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7"/>
      <c r="B760" s="7"/>
      <c r="C760" s="7"/>
      <c r="D760" s="7"/>
      <c r="E760" s="7"/>
      <c r="F760" s="7"/>
      <c r="G760" s="13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7"/>
      <c r="B761" s="7"/>
      <c r="C761" s="7"/>
      <c r="D761" s="7"/>
      <c r="E761" s="7"/>
      <c r="F761" s="7"/>
      <c r="G761" s="13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7"/>
      <c r="B762" s="7"/>
      <c r="C762" s="7"/>
      <c r="D762" s="7"/>
      <c r="E762" s="7"/>
      <c r="F762" s="7"/>
      <c r="G762" s="13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7"/>
      <c r="B763" s="7"/>
      <c r="C763" s="7"/>
      <c r="D763" s="7"/>
      <c r="E763" s="7"/>
      <c r="F763" s="7"/>
      <c r="G763" s="13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7"/>
      <c r="B764" s="7"/>
      <c r="C764" s="7"/>
      <c r="D764" s="7"/>
      <c r="E764" s="7"/>
      <c r="F764" s="7"/>
      <c r="G764" s="13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7"/>
      <c r="B765" s="7"/>
      <c r="C765" s="7"/>
      <c r="D765" s="7"/>
      <c r="E765" s="7"/>
      <c r="F765" s="7"/>
      <c r="G765" s="13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7"/>
      <c r="B766" s="7"/>
      <c r="C766" s="7"/>
      <c r="D766" s="7"/>
      <c r="E766" s="7"/>
      <c r="F766" s="7"/>
      <c r="G766" s="13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7"/>
      <c r="B767" s="7"/>
      <c r="C767" s="7"/>
      <c r="D767" s="7"/>
      <c r="E767" s="7"/>
      <c r="F767" s="7"/>
      <c r="G767" s="13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7"/>
      <c r="B768" s="7"/>
      <c r="C768" s="7"/>
      <c r="D768" s="7"/>
      <c r="E768" s="7"/>
      <c r="F768" s="7"/>
      <c r="G768" s="13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7"/>
      <c r="B769" s="7"/>
      <c r="C769" s="7"/>
      <c r="D769" s="7"/>
      <c r="E769" s="7"/>
      <c r="F769" s="7"/>
      <c r="G769" s="13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7"/>
      <c r="B770" s="7"/>
      <c r="C770" s="7"/>
      <c r="D770" s="7"/>
      <c r="E770" s="7"/>
      <c r="F770" s="7"/>
      <c r="G770" s="13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7"/>
      <c r="B771" s="7"/>
      <c r="C771" s="7"/>
      <c r="D771" s="7"/>
      <c r="E771" s="7"/>
      <c r="F771" s="7"/>
      <c r="G771" s="13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7"/>
      <c r="B772" s="7"/>
      <c r="C772" s="7"/>
      <c r="D772" s="7"/>
      <c r="E772" s="7"/>
      <c r="F772" s="7"/>
      <c r="G772" s="13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7"/>
      <c r="B773" s="7"/>
      <c r="C773" s="7"/>
      <c r="D773" s="7"/>
      <c r="E773" s="7"/>
      <c r="F773" s="7"/>
      <c r="G773" s="13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7"/>
      <c r="B774" s="7"/>
      <c r="C774" s="7"/>
      <c r="D774" s="7"/>
      <c r="E774" s="7"/>
      <c r="F774" s="7"/>
      <c r="G774" s="13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7"/>
      <c r="B775" s="7"/>
      <c r="C775" s="7"/>
      <c r="D775" s="7"/>
      <c r="E775" s="7"/>
      <c r="F775" s="7"/>
      <c r="G775" s="13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7"/>
      <c r="B776" s="7"/>
      <c r="C776" s="7"/>
      <c r="D776" s="7"/>
      <c r="E776" s="7"/>
      <c r="F776" s="7"/>
      <c r="G776" s="13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7"/>
      <c r="B777" s="7"/>
      <c r="C777" s="7"/>
      <c r="D777" s="7"/>
      <c r="E777" s="7"/>
      <c r="F777" s="7"/>
      <c r="G777" s="13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7"/>
      <c r="B778" s="7"/>
      <c r="C778" s="7"/>
      <c r="D778" s="7"/>
      <c r="E778" s="7"/>
      <c r="F778" s="7"/>
      <c r="G778" s="13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7"/>
      <c r="B779" s="7"/>
      <c r="C779" s="7"/>
      <c r="D779" s="7"/>
      <c r="E779" s="7"/>
      <c r="F779" s="7"/>
      <c r="G779" s="13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7"/>
      <c r="B780" s="7"/>
      <c r="C780" s="7"/>
      <c r="D780" s="7"/>
      <c r="E780" s="7"/>
      <c r="F780" s="7"/>
      <c r="G780" s="13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7"/>
      <c r="B781" s="7"/>
      <c r="C781" s="7"/>
      <c r="D781" s="7"/>
      <c r="E781" s="7"/>
      <c r="F781" s="7"/>
      <c r="G781" s="13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7"/>
      <c r="B782" s="7"/>
      <c r="C782" s="7"/>
      <c r="D782" s="7"/>
      <c r="E782" s="7"/>
      <c r="F782" s="7"/>
      <c r="G782" s="13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7"/>
      <c r="B783" s="7"/>
      <c r="C783" s="7"/>
      <c r="D783" s="7"/>
      <c r="E783" s="7"/>
      <c r="F783" s="7"/>
      <c r="G783" s="13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7"/>
      <c r="B784" s="7"/>
      <c r="C784" s="7"/>
      <c r="D784" s="7"/>
      <c r="E784" s="7"/>
      <c r="F784" s="7"/>
      <c r="G784" s="13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7"/>
      <c r="B785" s="7"/>
      <c r="C785" s="7"/>
      <c r="D785" s="7"/>
      <c r="E785" s="7"/>
      <c r="F785" s="7"/>
      <c r="G785" s="13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7"/>
      <c r="B786" s="7"/>
      <c r="C786" s="7"/>
      <c r="D786" s="7"/>
      <c r="E786" s="7"/>
      <c r="F786" s="7"/>
      <c r="G786" s="13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7"/>
      <c r="B787" s="7"/>
      <c r="C787" s="7"/>
      <c r="D787" s="7"/>
      <c r="E787" s="7"/>
      <c r="F787" s="7"/>
      <c r="G787" s="13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7"/>
      <c r="B788" s="7"/>
      <c r="C788" s="7"/>
      <c r="D788" s="7"/>
      <c r="E788" s="7"/>
      <c r="F788" s="7"/>
      <c r="G788" s="13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7"/>
      <c r="B789" s="7"/>
      <c r="C789" s="7"/>
      <c r="D789" s="7"/>
      <c r="E789" s="7"/>
      <c r="F789" s="7"/>
      <c r="G789" s="13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7"/>
      <c r="B790" s="7"/>
      <c r="C790" s="7"/>
      <c r="D790" s="7"/>
      <c r="E790" s="7"/>
      <c r="F790" s="7"/>
      <c r="G790" s="13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7"/>
      <c r="B791" s="7"/>
      <c r="C791" s="7"/>
      <c r="D791" s="7"/>
      <c r="E791" s="7"/>
      <c r="F791" s="7"/>
      <c r="G791" s="13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7"/>
      <c r="B792" s="7"/>
      <c r="C792" s="7"/>
      <c r="D792" s="7"/>
      <c r="E792" s="7"/>
      <c r="F792" s="7"/>
      <c r="G792" s="13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7"/>
      <c r="B793" s="7"/>
      <c r="C793" s="7"/>
      <c r="D793" s="7"/>
      <c r="E793" s="7"/>
      <c r="F793" s="7"/>
      <c r="G793" s="13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7"/>
      <c r="B794" s="7"/>
      <c r="C794" s="7"/>
      <c r="D794" s="7"/>
      <c r="E794" s="7"/>
      <c r="F794" s="7"/>
      <c r="G794" s="13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7"/>
      <c r="B795" s="7"/>
      <c r="C795" s="7"/>
      <c r="D795" s="7"/>
      <c r="E795" s="7"/>
      <c r="F795" s="7"/>
      <c r="G795" s="13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7"/>
      <c r="B796" s="7"/>
      <c r="C796" s="7"/>
      <c r="D796" s="7"/>
      <c r="E796" s="7"/>
      <c r="F796" s="7"/>
      <c r="G796" s="13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7"/>
      <c r="B797" s="7"/>
      <c r="C797" s="7"/>
      <c r="D797" s="7"/>
      <c r="E797" s="7"/>
      <c r="F797" s="7"/>
      <c r="G797" s="13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7"/>
      <c r="B798" s="7"/>
      <c r="C798" s="7"/>
      <c r="D798" s="7"/>
      <c r="E798" s="7"/>
      <c r="F798" s="7"/>
      <c r="G798" s="13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7"/>
      <c r="B799" s="7"/>
      <c r="C799" s="7"/>
      <c r="D799" s="7"/>
      <c r="E799" s="7"/>
      <c r="F799" s="7"/>
      <c r="G799" s="13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7"/>
      <c r="B800" s="7"/>
      <c r="C800" s="7"/>
      <c r="D800" s="7"/>
      <c r="E800" s="7"/>
      <c r="F800" s="7"/>
      <c r="G800" s="13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7"/>
      <c r="B801" s="7"/>
      <c r="C801" s="7"/>
      <c r="D801" s="7"/>
      <c r="E801" s="7"/>
      <c r="F801" s="7"/>
      <c r="G801" s="13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7"/>
      <c r="B802" s="7"/>
      <c r="C802" s="7"/>
      <c r="D802" s="7"/>
      <c r="E802" s="7"/>
      <c r="F802" s="7"/>
      <c r="G802" s="13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7"/>
      <c r="B803" s="7"/>
      <c r="C803" s="7"/>
      <c r="D803" s="7"/>
      <c r="E803" s="7"/>
      <c r="F803" s="7"/>
      <c r="G803" s="13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7"/>
      <c r="B804" s="7"/>
      <c r="C804" s="7"/>
      <c r="D804" s="7"/>
      <c r="E804" s="7"/>
      <c r="F804" s="7"/>
      <c r="G804" s="13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7"/>
      <c r="B805" s="7"/>
      <c r="C805" s="7"/>
      <c r="D805" s="7"/>
      <c r="E805" s="7"/>
      <c r="F805" s="7"/>
      <c r="G805" s="13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7"/>
      <c r="B806" s="7"/>
      <c r="C806" s="7"/>
      <c r="D806" s="7"/>
      <c r="E806" s="7"/>
      <c r="F806" s="7"/>
      <c r="G806" s="13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7"/>
      <c r="B807" s="7"/>
      <c r="C807" s="7"/>
      <c r="D807" s="7"/>
      <c r="E807" s="7"/>
      <c r="F807" s="7"/>
      <c r="G807" s="13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7"/>
      <c r="B808" s="7"/>
      <c r="C808" s="7"/>
      <c r="D808" s="7"/>
      <c r="E808" s="7"/>
      <c r="F808" s="7"/>
      <c r="G808" s="13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7"/>
      <c r="B809" s="7"/>
      <c r="C809" s="7"/>
      <c r="D809" s="7"/>
      <c r="E809" s="7"/>
      <c r="F809" s="7"/>
      <c r="G809" s="13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7"/>
      <c r="B810" s="7"/>
      <c r="C810" s="7"/>
      <c r="D810" s="7"/>
      <c r="E810" s="7"/>
      <c r="F810" s="7"/>
      <c r="G810" s="13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7"/>
      <c r="B811" s="7"/>
      <c r="C811" s="7"/>
      <c r="D811" s="7"/>
      <c r="E811" s="7"/>
      <c r="F811" s="7"/>
      <c r="G811" s="13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7"/>
      <c r="B812" s="7"/>
      <c r="C812" s="7"/>
      <c r="D812" s="7"/>
      <c r="E812" s="7"/>
      <c r="F812" s="7"/>
      <c r="G812" s="13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7"/>
      <c r="B813" s="7"/>
      <c r="C813" s="7"/>
      <c r="D813" s="7"/>
      <c r="E813" s="7"/>
      <c r="F813" s="7"/>
      <c r="G813" s="13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7"/>
      <c r="B814" s="7"/>
      <c r="C814" s="7"/>
      <c r="D814" s="7"/>
      <c r="E814" s="7"/>
      <c r="F814" s="7"/>
      <c r="G814" s="13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7"/>
      <c r="B815" s="7"/>
      <c r="C815" s="7"/>
      <c r="D815" s="7"/>
      <c r="E815" s="7"/>
      <c r="F815" s="7"/>
      <c r="G815" s="13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7"/>
      <c r="B816" s="7"/>
      <c r="C816" s="7"/>
      <c r="D816" s="7"/>
      <c r="E816" s="7"/>
      <c r="F816" s="7"/>
      <c r="G816" s="13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7"/>
      <c r="B817" s="7"/>
      <c r="C817" s="7"/>
      <c r="D817" s="7"/>
      <c r="E817" s="7"/>
      <c r="F817" s="7"/>
      <c r="G817" s="13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7"/>
      <c r="B818" s="7"/>
      <c r="C818" s="7"/>
      <c r="D818" s="7"/>
      <c r="E818" s="7"/>
      <c r="F818" s="7"/>
      <c r="G818" s="13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7"/>
      <c r="B819" s="7"/>
      <c r="C819" s="7"/>
      <c r="D819" s="7"/>
      <c r="E819" s="7"/>
      <c r="F819" s="7"/>
      <c r="G819" s="13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7"/>
      <c r="B820" s="7"/>
      <c r="C820" s="7"/>
      <c r="D820" s="7"/>
      <c r="E820" s="7"/>
      <c r="F820" s="7"/>
      <c r="G820" s="13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7"/>
      <c r="B821" s="7"/>
      <c r="C821" s="7"/>
      <c r="D821" s="7"/>
      <c r="E821" s="7"/>
      <c r="F821" s="7"/>
      <c r="G821" s="13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7"/>
      <c r="B822" s="7"/>
      <c r="C822" s="7"/>
      <c r="D822" s="7"/>
      <c r="E822" s="7"/>
      <c r="F822" s="7"/>
      <c r="G822" s="13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7"/>
      <c r="B823" s="7"/>
      <c r="C823" s="7"/>
      <c r="D823" s="7"/>
      <c r="E823" s="7"/>
      <c r="F823" s="7"/>
      <c r="G823" s="13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7"/>
      <c r="B824" s="7"/>
      <c r="C824" s="7"/>
      <c r="D824" s="7"/>
      <c r="E824" s="7"/>
      <c r="F824" s="7"/>
      <c r="G824" s="13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7"/>
      <c r="B825" s="7"/>
      <c r="C825" s="7"/>
      <c r="D825" s="7"/>
      <c r="E825" s="7"/>
      <c r="F825" s="7"/>
      <c r="G825" s="13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7"/>
      <c r="B826" s="7"/>
      <c r="C826" s="7"/>
      <c r="D826" s="7"/>
      <c r="E826" s="7"/>
      <c r="F826" s="7"/>
      <c r="G826" s="13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7"/>
      <c r="B827" s="7"/>
      <c r="C827" s="7"/>
      <c r="D827" s="7"/>
      <c r="E827" s="7"/>
      <c r="F827" s="7"/>
      <c r="G827" s="13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7"/>
      <c r="B828" s="7"/>
      <c r="C828" s="7"/>
      <c r="D828" s="7"/>
      <c r="E828" s="7"/>
      <c r="F828" s="7"/>
      <c r="G828" s="13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</sheetData>
  <conditionalFormatting sqref="F2:F1028">
    <cfRule type="expression" dxfId="32" priority="1">
      <formula>AND($F2&lt;TODAY(),$F2&lt;&gt;"",$G2&lt;&gt;"Done")</formula>
    </cfRule>
  </conditionalFormatting>
  <conditionalFormatting sqref="G2:G1028">
    <cfRule type="expression" dxfId="31" priority="2">
      <formula>$G2="Done"</formula>
    </cfRule>
    <cfRule type="expression" dxfId="30" priority="3">
      <formula>$G2="Waiting"</formula>
    </cfRule>
  </conditionalFormatting>
  <dataValidations count="3">
    <dataValidation type="list" allowBlank="1" sqref="E2:E828" xr:uid="{00000000-0002-0000-0100-000000000000}">
      <formula1>"Kathleen,Binay,Rajan,Other"</formula1>
    </dataValidation>
    <dataValidation type="list" allowBlank="1" sqref="B2:B828" xr:uid="{00000000-0002-0000-0100-000001000000}">
      <formula1>"Client,HCA,General"</formula1>
    </dataValidation>
    <dataValidation type="list" allowBlank="1" sqref="G2:G828" xr:uid="{00000000-0002-0000-0100-000002000000}">
      <formula1>"Open,In Progress,Done"</formula1>
    </dataValidation>
  </dataValidations>
  <hyperlinks>
    <hyperlink ref="D2" r:id="rId1" xr:uid="{00000000-0004-0000-0100-000000000000}"/>
    <hyperlink ref="D8" r:id="rId2" xr:uid="{00000000-0004-0000-0100-000001000000}"/>
    <hyperlink ref="C17" r:id="rId3" xr:uid="{00000000-0004-0000-0100-000002000000}"/>
  </hyperlinks>
  <pageMargins left="0.7" right="0.7" top="0.75" bottom="0.75" header="0" footer="0"/>
  <pageSetup orientation="landscape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9765625" defaultRowHeight="15" customHeight="1"/>
  <cols>
    <col min="1" max="1" width="7.3984375" customWidth="1"/>
    <col min="2" max="2" width="24" customWidth="1"/>
    <col min="3" max="3" width="19" customWidth="1"/>
    <col min="4" max="4" width="18" customWidth="1"/>
    <col min="5" max="5" width="11.59765625" customWidth="1"/>
    <col min="6" max="6" width="18" customWidth="1"/>
    <col min="7" max="7" width="24" customWidth="1"/>
    <col min="8" max="8" width="21" customWidth="1"/>
    <col min="9" max="9" width="12" customWidth="1"/>
    <col min="10" max="10" width="18.59765625" hidden="1" customWidth="1"/>
    <col min="11" max="11" width="16" hidden="1" customWidth="1"/>
    <col min="12" max="12" width="21.5" hidden="1" customWidth="1"/>
    <col min="13" max="13" width="19" hidden="1" customWidth="1"/>
    <col min="14" max="14" width="16" hidden="1" customWidth="1"/>
    <col min="15" max="15" width="22.5" hidden="1" customWidth="1"/>
    <col min="16" max="16" width="15.59765625" hidden="1" customWidth="1"/>
    <col min="17" max="18" width="14" customWidth="1"/>
    <col min="19" max="19" width="42" customWidth="1"/>
  </cols>
  <sheetData>
    <row r="1" spans="1:19" ht="33.75" customHeight="1">
      <c r="A1" s="1" t="s">
        <v>7</v>
      </c>
      <c r="B1" s="1" t="s">
        <v>10</v>
      </c>
      <c r="C1" s="1" t="s">
        <v>13</v>
      </c>
      <c r="D1" s="1" t="s">
        <v>21</v>
      </c>
      <c r="E1" s="3" t="s">
        <v>24</v>
      </c>
      <c r="F1" s="1" t="s">
        <v>28</v>
      </c>
      <c r="G1" s="1" t="s">
        <v>32</v>
      </c>
      <c r="H1" s="1" t="s">
        <v>34</v>
      </c>
      <c r="I1" s="1" t="s">
        <v>36</v>
      </c>
      <c r="J1" s="1" t="s">
        <v>37</v>
      </c>
      <c r="K1" s="1" t="s">
        <v>39</v>
      </c>
      <c r="L1" s="1" t="s">
        <v>41</v>
      </c>
      <c r="M1" s="1" t="s">
        <v>42</v>
      </c>
      <c r="N1" s="1" t="s">
        <v>44</v>
      </c>
      <c r="O1" s="1" t="s">
        <v>45</v>
      </c>
      <c r="P1" s="1" t="s">
        <v>48</v>
      </c>
      <c r="Q1" s="1" t="s">
        <v>25</v>
      </c>
      <c r="R1" s="1" t="s">
        <v>52</v>
      </c>
      <c r="S1" s="1" t="s">
        <v>26</v>
      </c>
    </row>
    <row r="2" spans="1:19" ht="14.25" customHeight="1">
      <c r="A2" s="15" t="s">
        <v>55</v>
      </c>
      <c r="B2" s="17" t="s">
        <v>59</v>
      </c>
      <c r="C2" s="17" t="s">
        <v>62</v>
      </c>
      <c r="D2" s="17" t="s">
        <v>65</v>
      </c>
      <c r="E2" s="17">
        <v>60586</v>
      </c>
      <c r="F2" s="17" t="s">
        <v>69</v>
      </c>
      <c r="G2" s="17" t="s">
        <v>71</v>
      </c>
      <c r="H2" s="17" t="s">
        <v>74</v>
      </c>
      <c r="I2" s="19">
        <v>46153</v>
      </c>
      <c r="J2" s="17"/>
      <c r="K2" s="17"/>
      <c r="L2" s="11"/>
      <c r="M2" s="17"/>
      <c r="N2" s="17"/>
      <c r="O2" s="11"/>
      <c r="P2" s="17"/>
      <c r="Q2" s="17" t="s">
        <v>50</v>
      </c>
      <c r="R2" s="19">
        <v>46300</v>
      </c>
      <c r="S2" s="11" t="s">
        <v>85</v>
      </c>
    </row>
    <row r="3" spans="1:19" ht="14.25" customHeight="1">
      <c r="A3" s="15" t="s">
        <v>29</v>
      </c>
      <c r="B3" s="17" t="s">
        <v>89</v>
      </c>
      <c r="C3" s="17" t="s">
        <v>91</v>
      </c>
      <c r="D3" s="17" t="s">
        <v>93</v>
      </c>
      <c r="E3" s="17">
        <v>60070</v>
      </c>
      <c r="F3" s="17" t="s">
        <v>69</v>
      </c>
      <c r="G3" s="17" t="s">
        <v>97</v>
      </c>
      <c r="H3" s="17" t="s">
        <v>74</v>
      </c>
      <c r="I3" s="19">
        <v>46181</v>
      </c>
      <c r="J3" s="17" t="s">
        <v>100</v>
      </c>
      <c r="K3" s="17" t="s">
        <v>103</v>
      </c>
      <c r="L3" s="11"/>
      <c r="M3" s="17"/>
      <c r="N3" s="17"/>
      <c r="O3" s="11"/>
      <c r="P3" s="17"/>
      <c r="Q3" s="17" t="s">
        <v>40</v>
      </c>
      <c r="R3" s="19">
        <v>46302</v>
      </c>
      <c r="S3" s="11" t="s">
        <v>109</v>
      </c>
    </row>
    <row r="4" spans="1:19" ht="14.25" customHeight="1">
      <c r="A4" s="15" t="s">
        <v>111</v>
      </c>
      <c r="B4" s="17" t="s">
        <v>114</v>
      </c>
      <c r="C4" s="17" t="s">
        <v>115</v>
      </c>
      <c r="D4" s="17" t="s">
        <v>116</v>
      </c>
      <c r="E4" s="17">
        <v>60077</v>
      </c>
      <c r="F4" s="17" t="s">
        <v>69</v>
      </c>
      <c r="G4" s="17" t="s">
        <v>119</v>
      </c>
      <c r="H4" s="17" t="s">
        <v>74</v>
      </c>
      <c r="I4" s="19">
        <v>46184</v>
      </c>
      <c r="J4" s="17"/>
      <c r="K4" s="17"/>
      <c r="L4" s="11"/>
      <c r="M4" s="17"/>
      <c r="N4" s="17"/>
      <c r="O4" s="11"/>
      <c r="P4" s="17"/>
      <c r="Q4" s="17" t="s">
        <v>40</v>
      </c>
      <c r="R4" s="19">
        <v>46302</v>
      </c>
      <c r="S4" s="25" t="s">
        <v>126</v>
      </c>
    </row>
    <row r="5" spans="1:19" ht="14.25" customHeight="1">
      <c r="A5" s="15" t="s">
        <v>128</v>
      </c>
      <c r="B5" s="17" t="s">
        <v>130</v>
      </c>
      <c r="C5" s="17" t="s">
        <v>115</v>
      </c>
      <c r="D5" s="17" t="s">
        <v>116</v>
      </c>
      <c r="E5" s="17">
        <v>60077</v>
      </c>
      <c r="F5" s="17" t="s">
        <v>69</v>
      </c>
      <c r="G5" s="17" t="s">
        <v>119</v>
      </c>
      <c r="H5" s="17" t="s">
        <v>74</v>
      </c>
      <c r="I5" s="19">
        <v>46184</v>
      </c>
      <c r="J5" s="17"/>
      <c r="K5" s="17"/>
      <c r="L5" s="11"/>
      <c r="M5" s="17"/>
      <c r="N5" s="17"/>
      <c r="O5" s="11"/>
      <c r="P5" s="17"/>
      <c r="Q5" s="17" t="s">
        <v>40</v>
      </c>
      <c r="R5" s="19">
        <v>46302</v>
      </c>
      <c r="S5" s="11"/>
    </row>
    <row r="6" spans="1:19" ht="14.25" customHeight="1">
      <c r="A6" s="15" t="s">
        <v>148</v>
      </c>
      <c r="B6" s="17" t="s">
        <v>150</v>
      </c>
      <c r="C6" s="17" t="s">
        <v>151</v>
      </c>
      <c r="D6" s="17" t="s">
        <v>153</v>
      </c>
      <c r="E6" s="17">
        <v>60618</v>
      </c>
      <c r="F6" s="17" t="s">
        <v>69</v>
      </c>
      <c r="G6" s="17" t="s">
        <v>156</v>
      </c>
      <c r="H6" s="17" t="s">
        <v>74</v>
      </c>
      <c r="I6" s="19">
        <v>46190</v>
      </c>
      <c r="J6" s="17"/>
      <c r="K6" s="17"/>
      <c r="L6" s="11"/>
      <c r="M6" s="17"/>
      <c r="N6" s="17"/>
      <c r="O6" s="11"/>
      <c r="P6" s="17"/>
      <c r="Q6" s="17" t="s">
        <v>40</v>
      </c>
      <c r="R6" s="19">
        <v>46303</v>
      </c>
      <c r="S6" s="11" t="s">
        <v>166</v>
      </c>
    </row>
    <row r="7" spans="1:19" ht="14.25" customHeight="1">
      <c r="A7" s="15" t="s">
        <v>47</v>
      </c>
      <c r="B7" s="17" t="s">
        <v>169</v>
      </c>
      <c r="C7" s="17" t="s">
        <v>171</v>
      </c>
      <c r="D7" s="17" t="s">
        <v>173</v>
      </c>
      <c r="E7" s="17">
        <v>60053</v>
      </c>
      <c r="F7" s="17" t="s">
        <v>69</v>
      </c>
      <c r="G7" s="17" t="s">
        <v>119</v>
      </c>
      <c r="H7" s="17" t="s">
        <v>74</v>
      </c>
      <c r="I7" s="19">
        <v>46213</v>
      </c>
      <c r="J7" s="17"/>
      <c r="K7" s="17"/>
      <c r="L7" s="11"/>
      <c r="M7" s="17"/>
      <c r="N7" s="17"/>
      <c r="O7" s="11"/>
      <c r="P7" s="17"/>
      <c r="Q7" s="17" t="s">
        <v>40</v>
      </c>
      <c r="R7" s="19">
        <v>46302</v>
      </c>
      <c r="S7" s="11" t="s">
        <v>185</v>
      </c>
    </row>
    <row r="8" spans="1:19" ht="14.25" customHeight="1">
      <c r="A8" s="15" t="s">
        <v>53</v>
      </c>
      <c r="B8" s="17" t="s">
        <v>189</v>
      </c>
      <c r="C8" s="17" t="s">
        <v>191</v>
      </c>
      <c r="D8" s="17" t="s">
        <v>153</v>
      </c>
      <c r="E8" s="17">
        <v>60659</v>
      </c>
      <c r="F8" s="17" t="s">
        <v>193</v>
      </c>
      <c r="G8" s="17" t="s">
        <v>196</v>
      </c>
      <c r="H8" s="17" t="s">
        <v>74</v>
      </c>
      <c r="I8" s="19">
        <v>46216</v>
      </c>
      <c r="J8" s="17" t="s">
        <v>199</v>
      </c>
      <c r="K8" s="17" t="s">
        <v>200</v>
      </c>
      <c r="L8" s="11"/>
      <c r="M8" s="17" t="s">
        <v>206</v>
      </c>
      <c r="N8" s="17" t="s">
        <v>207</v>
      </c>
      <c r="O8" s="11"/>
      <c r="P8" s="17"/>
      <c r="Q8" s="17" t="s">
        <v>40</v>
      </c>
      <c r="R8" s="19">
        <v>46302</v>
      </c>
      <c r="S8" s="11" t="s">
        <v>211</v>
      </c>
    </row>
    <row r="9" spans="1:19" ht="14.25" customHeight="1">
      <c r="A9" s="15" t="s">
        <v>64</v>
      </c>
      <c r="B9" s="17" t="s">
        <v>214</v>
      </c>
      <c r="C9" s="17" t="s">
        <v>216</v>
      </c>
      <c r="D9" s="17" t="s">
        <v>153</v>
      </c>
      <c r="E9" s="17">
        <v>60618</v>
      </c>
      <c r="F9" s="17" t="s">
        <v>69</v>
      </c>
      <c r="G9" s="17" t="s">
        <v>156</v>
      </c>
      <c r="H9" s="17" t="s">
        <v>74</v>
      </c>
      <c r="I9" s="19">
        <v>46234</v>
      </c>
      <c r="J9" s="17"/>
      <c r="K9" s="17"/>
      <c r="L9" s="11"/>
      <c r="M9" s="17"/>
      <c r="N9" s="17"/>
      <c r="O9" s="11"/>
      <c r="P9" s="17"/>
      <c r="Q9" s="17" t="s">
        <v>40</v>
      </c>
      <c r="R9" s="19">
        <v>46302</v>
      </c>
      <c r="S9" s="11" t="s">
        <v>225</v>
      </c>
    </row>
    <row r="10" spans="1:19" ht="14.25" customHeight="1">
      <c r="A10" s="15" t="s">
        <v>227</v>
      </c>
      <c r="B10" s="17" t="s">
        <v>228</v>
      </c>
      <c r="C10" s="17" t="s">
        <v>229</v>
      </c>
      <c r="D10" s="17" t="s">
        <v>153</v>
      </c>
      <c r="E10" s="17">
        <v>60660</v>
      </c>
      <c r="F10" s="17" t="s">
        <v>69</v>
      </c>
      <c r="G10" s="17" t="s">
        <v>97</v>
      </c>
      <c r="H10" s="17" t="s">
        <v>74</v>
      </c>
      <c r="I10" s="19">
        <v>46238</v>
      </c>
      <c r="J10" s="17"/>
      <c r="K10" s="17"/>
      <c r="L10" s="11"/>
      <c r="M10" s="17"/>
      <c r="N10" s="17"/>
      <c r="O10" s="11"/>
      <c r="P10" s="17"/>
      <c r="Q10" s="17" t="s">
        <v>40</v>
      </c>
      <c r="R10" s="19"/>
      <c r="S10" s="11" t="s">
        <v>240</v>
      </c>
    </row>
    <row r="11" spans="1:19" ht="14.25" customHeight="1">
      <c r="A11" s="15" t="s">
        <v>241</v>
      </c>
      <c r="B11" s="17" t="s">
        <v>243</v>
      </c>
      <c r="C11" s="17" t="s">
        <v>245</v>
      </c>
      <c r="D11" s="17" t="s">
        <v>153</v>
      </c>
      <c r="E11" s="17">
        <v>60625</v>
      </c>
      <c r="F11" s="17" t="s">
        <v>69</v>
      </c>
      <c r="G11" s="17" t="s">
        <v>156</v>
      </c>
      <c r="H11" s="17" t="s">
        <v>74</v>
      </c>
      <c r="I11" s="19">
        <v>46241</v>
      </c>
      <c r="J11" s="17"/>
      <c r="K11" s="17"/>
      <c r="L11" s="11"/>
      <c r="M11" s="17"/>
      <c r="N11" s="17"/>
      <c r="O11" s="11"/>
      <c r="P11" s="17"/>
      <c r="Q11" s="17" t="s">
        <v>40</v>
      </c>
      <c r="R11" s="19">
        <v>46302</v>
      </c>
      <c r="S11" s="11" t="s">
        <v>257</v>
      </c>
    </row>
    <row r="12" spans="1:19" ht="14.25" customHeight="1">
      <c r="A12" s="15" t="s">
        <v>260</v>
      </c>
      <c r="B12" s="17" t="s">
        <v>262</v>
      </c>
      <c r="C12" s="17" t="s">
        <v>263</v>
      </c>
      <c r="D12" s="17" t="s">
        <v>153</v>
      </c>
      <c r="E12" s="17">
        <v>60645</v>
      </c>
      <c r="F12" s="17" t="s">
        <v>69</v>
      </c>
      <c r="G12" s="17" t="s">
        <v>97</v>
      </c>
      <c r="H12" s="17" t="s">
        <v>74</v>
      </c>
      <c r="I12" s="19">
        <v>46244</v>
      </c>
      <c r="J12" s="17"/>
      <c r="K12" s="17"/>
      <c r="L12" s="11"/>
      <c r="M12" s="17"/>
      <c r="N12" s="17"/>
      <c r="O12" s="11"/>
      <c r="P12" s="17"/>
      <c r="Q12" s="17" t="s">
        <v>40</v>
      </c>
      <c r="R12" s="19"/>
      <c r="S12" s="11" t="s">
        <v>275</v>
      </c>
    </row>
    <row r="13" spans="1:19" ht="14.25" customHeight="1">
      <c r="A13" s="15" t="s">
        <v>276</v>
      </c>
      <c r="B13" s="17" t="s">
        <v>278</v>
      </c>
      <c r="C13" s="17" t="s">
        <v>281</v>
      </c>
      <c r="D13" s="17" t="s">
        <v>283</v>
      </c>
      <c r="E13" s="17">
        <v>60089</v>
      </c>
      <c r="F13" s="17" t="s">
        <v>69</v>
      </c>
      <c r="G13" s="17" t="s">
        <v>97</v>
      </c>
      <c r="H13" s="17" t="s">
        <v>74</v>
      </c>
      <c r="I13" s="19">
        <v>46253</v>
      </c>
      <c r="J13" s="17"/>
      <c r="K13" s="17"/>
      <c r="L13" s="11"/>
      <c r="M13" s="17"/>
      <c r="N13" s="17"/>
      <c r="O13" s="11"/>
      <c r="P13" s="17"/>
      <c r="Q13" s="17" t="s">
        <v>40</v>
      </c>
      <c r="R13" s="19">
        <v>46297</v>
      </c>
      <c r="S13" s="25" t="s">
        <v>292</v>
      </c>
    </row>
    <row r="14" spans="1:19" ht="14.25" customHeight="1">
      <c r="A14" s="15" t="s">
        <v>295</v>
      </c>
      <c r="B14" s="17" t="s">
        <v>297</v>
      </c>
      <c r="C14" s="17" t="s">
        <v>281</v>
      </c>
      <c r="D14" s="17" t="s">
        <v>283</v>
      </c>
      <c r="E14" s="17">
        <v>60089</v>
      </c>
      <c r="F14" s="17" t="s">
        <v>69</v>
      </c>
      <c r="G14" s="17" t="s">
        <v>97</v>
      </c>
      <c r="H14" s="17" t="s">
        <v>74</v>
      </c>
      <c r="I14" s="19">
        <v>46253</v>
      </c>
      <c r="J14" s="17"/>
      <c r="K14" s="17"/>
      <c r="L14" s="11"/>
      <c r="M14" s="17"/>
      <c r="N14" s="17"/>
      <c r="O14" s="11"/>
      <c r="P14" s="17"/>
      <c r="Q14" s="17" t="s">
        <v>40</v>
      </c>
      <c r="R14" s="19">
        <v>46297</v>
      </c>
      <c r="S14" s="25" t="s">
        <v>292</v>
      </c>
    </row>
    <row r="15" spans="1:19" ht="14.25" customHeight="1">
      <c r="A15" s="15" t="s">
        <v>309</v>
      </c>
      <c r="B15" s="17" t="s">
        <v>300</v>
      </c>
      <c r="C15" s="17" t="s">
        <v>311</v>
      </c>
      <c r="D15" s="17" t="s">
        <v>314</v>
      </c>
      <c r="E15" s="17">
        <v>60169</v>
      </c>
      <c r="F15" s="17" t="s">
        <v>69</v>
      </c>
      <c r="G15" s="17" t="s">
        <v>316</v>
      </c>
      <c r="H15" s="17" t="s">
        <v>74</v>
      </c>
      <c r="I15" s="19">
        <v>46254</v>
      </c>
      <c r="J15" s="17"/>
      <c r="K15" s="17"/>
      <c r="L15" s="11"/>
      <c r="M15" s="17"/>
      <c r="N15" s="17"/>
      <c r="O15" s="11"/>
      <c r="P15" s="17"/>
      <c r="Q15" s="17" t="s">
        <v>57</v>
      </c>
      <c r="R15" s="19">
        <v>46297</v>
      </c>
      <c r="S15" s="11" t="s">
        <v>326</v>
      </c>
    </row>
    <row r="16" spans="1:19" ht="14.25" customHeight="1">
      <c r="A16" s="15" t="s">
        <v>327</v>
      </c>
      <c r="B16" s="17" t="s">
        <v>328</v>
      </c>
      <c r="C16" s="17" t="s">
        <v>330</v>
      </c>
      <c r="D16" s="17" t="s">
        <v>334</v>
      </c>
      <c r="E16" s="17"/>
      <c r="F16" s="17"/>
      <c r="G16" s="17"/>
      <c r="H16" s="17" t="s">
        <v>74</v>
      </c>
      <c r="I16" s="19">
        <v>46265</v>
      </c>
      <c r="J16" s="17"/>
      <c r="K16" s="17"/>
      <c r="L16" s="11"/>
      <c r="M16" s="17"/>
      <c r="N16" s="17"/>
      <c r="O16" s="11"/>
      <c r="P16" s="17"/>
      <c r="Q16" s="17" t="s">
        <v>50</v>
      </c>
      <c r="R16" s="19"/>
      <c r="S16" s="11" t="s">
        <v>347</v>
      </c>
    </row>
    <row r="17" spans="1:19" ht="14.25" customHeight="1">
      <c r="A17" s="15" t="s">
        <v>348</v>
      </c>
      <c r="B17" s="17" t="s">
        <v>350</v>
      </c>
      <c r="C17" s="17" t="s">
        <v>351</v>
      </c>
      <c r="D17" s="17" t="s">
        <v>353</v>
      </c>
      <c r="E17" s="17">
        <v>60102</v>
      </c>
      <c r="F17" s="17" t="s">
        <v>69</v>
      </c>
      <c r="G17" s="17" t="s">
        <v>357</v>
      </c>
      <c r="H17" s="17" t="s">
        <v>74</v>
      </c>
      <c r="I17" s="19">
        <v>46267</v>
      </c>
      <c r="J17" s="17"/>
      <c r="K17" s="17"/>
      <c r="L17" s="11"/>
      <c r="M17" s="17"/>
      <c r="N17" s="17"/>
      <c r="O17" s="11"/>
      <c r="P17" s="17"/>
      <c r="Q17" s="17" t="s">
        <v>50</v>
      </c>
      <c r="R17" s="19">
        <v>46302</v>
      </c>
      <c r="S17" s="11" t="s">
        <v>365</v>
      </c>
    </row>
    <row r="18" spans="1:19" ht="14.25" customHeight="1">
      <c r="A18" s="15" t="s">
        <v>73</v>
      </c>
      <c r="B18" s="17" t="s">
        <v>217</v>
      </c>
      <c r="C18" s="17" t="s">
        <v>370</v>
      </c>
      <c r="D18" s="17" t="s">
        <v>153</v>
      </c>
      <c r="E18" s="17">
        <v>60641</v>
      </c>
      <c r="F18" s="17" t="s">
        <v>69</v>
      </c>
      <c r="G18" s="17" t="s">
        <v>97</v>
      </c>
      <c r="H18" s="17" t="s">
        <v>74</v>
      </c>
      <c r="I18" s="19">
        <v>46275</v>
      </c>
      <c r="J18" s="17"/>
      <c r="K18" s="17"/>
      <c r="L18" s="11"/>
      <c r="M18" s="17"/>
      <c r="N18" s="17"/>
      <c r="O18" s="11"/>
      <c r="P18" s="17"/>
      <c r="Q18" s="17" t="s">
        <v>50</v>
      </c>
      <c r="R18" s="19">
        <v>46300</v>
      </c>
      <c r="S18" s="11" t="s">
        <v>385</v>
      </c>
    </row>
    <row r="19" spans="1:19" ht="14.25" customHeight="1">
      <c r="A19" s="15" t="s">
        <v>388</v>
      </c>
      <c r="B19" s="17" t="s">
        <v>390</v>
      </c>
      <c r="C19" s="17" t="s">
        <v>391</v>
      </c>
      <c r="D19" s="17" t="s">
        <v>392</v>
      </c>
      <c r="E19" s="17">
        <v>60614</v>
      </c>
      <c r="F19" s="17" t="s">
        <v>69</v>
      </c>
      <c r="G19" s="17" t="s">
        <v>119</v>
      </c>
      <c r="H19" s="17" t="s">
        <v>74</v>
      </c>
      <c r="I19" s="19">
        <v>46275</v>
      </c>
      <c r="J19" s="17"/>
      <c r="K19" s="17"/>
      <c r="L19" s="11"/>
      <c r="M19" s="17"/>
      <c r="N19" s="17"/>
      <c r="O19" s="11"/>
      <c r="P19" s="17"/>
      <c r="Q19" s="17" t="s">
        <v>50</v>
      </c>
      <c r="R19" s="19">
        <v>46300</v>
      </c>
      <c r="S19" s="11" t="s">
        <v>401</v>
      </c>
    </row>
    <row r="20" spans="1:19" ht="14.25" customHeight="1">
      <c r="A20" s="15" t="s">
        <v>407</v>
      </c>
      <c r="B20" s="17" t="s">
        <v>409</v>
      </c>
      <c r="C20" s="17" t="s">
        <v>410</v>
      </c>
      <c r="D20" s="17" t="s">
        <v>153</v>
      </c>
      <c r="E20" s="17">
        <v>60647</v>
      </c>
      <c r="F20" s="17" t="s">
        <v>69</v>
      </c>
      <c r="G20" s="17" t="s">
        <v>156</v>
      </c>
      <c r="H20" s="17" t="s">
        <v>74</v>
      </c>
      <c r="I20" s="19">
        <v>46276</v>
      </c>
      <c r="J20" s="17"/>
      <c r="K20" s="17"/>
      <c r="L20" s="11"/>
      <c r="M20" s="17"/>
      <c r="N20" s="17"/>
      <c r="O20" s="11"/>
      <c r="P20" s="17" t="s">
        <v>417</v>
      </c>
      <c r="Q20" s="17" t="s">
        <v>50</v>
      </c>
      <c r="R20" s="19">
        <v>46300</v>
      </c>
      <c r="S20" s="11" t="s">
        <v>422</v>
      </c>
    </row>
    <row r="21" spans="1:19" ht="14.25" customHeight="1">
      <c r="A21" s="15" t="s">
        <v>423</v>
      </c>
      <c r="B21" s="17" t="s">
        <v>425</v>
      </c>
      <c r="C21" s="17" t="s">
        <v>410</v>
      </c>
      <c r="D21" s="17" t="s">
        <v>153</v>
      </c>
      <c r="E21" s="17">
        <v>60647</v>
      </c>
      <c r="F21" s="17" t="s">
        <v>69</v>
      </c>
      <c r="G21" s="17" t="s">
        <v>156</v>
      </c>
      <c r="H21" s="17" t="s">
        <v>74</v>
      </c>
      <c r="I21" s="19">
        <v>46276</v>
      </c>
      <c r="J21" s="17"/>
      <c r="K21" s="17"/>
      <c r="L21" s="11"/>
      <c r="M21" s="17"/>
      <c r="N21" s="17"/>
      <c r="O21" s="11"/>
      <c r="P21" s="17" t="s">
        <v>417</v>
      </c>
      <c r="Q21" s="17" t="s">
        <v>50</v>
      </c>
      <c r="R21" s="19">
        <v>46300</v>
      </c>
      <c r="S21" s="11" t="s">
        <v>433</v>
      </c>
    </row>
    <row r="22" spans="1:19" ht="14.25" customHeight="1">
      <c r="A22" s="15" t="s">
        <v>76</v>
      </c>
      <c r="B22" s="17" t="s">
        <v>434</v>
      </c>
      <c r="C22" s="17" t="s">
        <v>435</v>
      </c>
      <c r="D22" s="17" t="s">
        <v>153</v>
      </c>
      <c r="E22" s="17">
        <v>60640</v>
      </c>
      <c r="F22" s="17" t="s">
        <v>69</v>
      </c>
      <c r="G22" s="17" t="s">
        <v>97</v>
      </c>
      <c r="H22" s="17" t="s">
        <v>74</v>
      </c>
      <c r="I22" s="19">
        <v>46280</v>
      </c>
      <c r="J22" s="17"/>
      <c r="K22" s="17"/>
      <c r="L22" s="11"/>
      <c r="M22" s="17"/>
      <c r="N22" s="17"/>
      <c r="O22" s="11"/>
      <c r="P22" s="17"/>
      <c r="Q22" s="17" t="s">
        <v>40</v>
      </c>
      <c r="R22" s="19">
        <v>46301</v>
      </c>
      <c r="S22" s="11" t="s">
        <v>439</v>
      </c>
    </row>
    <row r="23" spans="1:19" ht="14.25" customHeight="1">
      <c r="A23" s="15" t="s">
        <v>440</v>
      </c>
      <c r="B23" s="17" t="s">
        <v>441</v>
      </c>
      <c r="C23" s="17" t="s">
        <v>442</v>
      </c>
      <c r="D23" s="17" t="s">
        <v>153</v>
      </c>
      <c r="E23" s="17">
        <v>60630</v>
      </c>
      <c r="F23" s="17" t="s">
        <v>69</v>
      </c>
      <c r="G23" s="17" t="s">
        <v>156</v>
      </c>
      <c r="H23" s="17" t="s">
        <v>74</v>
      </c>
      <c r="I23" s="19">
        <v>46280</v>
      </c>
      <c r="J23" s="17"/>
      <c r="K23" s="17"/>
      <c r="L23" s="11"/>
      <c r="M23" s="17"/>
      <c r="N23" s="17"/>
      <c r="O23" s="11"/>
      <c r="P23" s="17"/>
      <c r="Q23" s="17" t="s">
        <v>50</v>
      </c>
      <c r="R23" s="19">
        <v>46301</v>
      </c>
      <c r="S23" s="11" t="s">
        <v>443</v>
      </c>
    </row>
    <row r="24" spans="1:19" ht="14.25" customHeight="1">
      <c r="A24" s="15" t="s">
        <v>444</v>
      </c>
      <c r="B24" s="17" t="s">
        <v>445</v>
      </c>
      <c r="C24" s="17" t="s">
        <v>446</v>
      </c>
      <c r="D24" s="17" t="s">
        <v>153</v>
      </c>
      <c r="E24" s="17">
        <v>60645</v>
      </c>
      <c r="F24" s="17" t="s">
        <v>69</v>
      </c>
      <c r="G24" s="17" t="s">
        <v>97</v>
      </c>
      <c r="H24" s="17" t="s">
        <v>74</v>
      </c>
      <c r="I24" s="19">
        <v>46280</v>
      </c>
      <c r="J24" s="17"/>
      <c r="K24" s="17"/>
      <c r="L24" s="11"/>
      <c r="M24" s="17"/>
      <c r="N24" s="17"/>
      <c r="O24" s="11"/>
      <c r="P24" s="17"/>
      <c r="Q24" s="17" t="s">
        <v>50</v>
      </c>
      <c r="R24" s="19">
        <v>46301</v>
      </c>
      <c r="S24" s="11" t="s">
        <v>433</v>
      </c>
    </row>
    <row r="25" spans="1:19" ht="14.25" customHeight="1">
      <c r="A25" s="15" t="s">
        <v>447</v>
      </c>
      <c r="B25" s="17" t="s">
        <v>448</v>
      </c>
      <c r="C25" s="17" t="s">
        <v>446</v>
      </c>
      <c r="D25" s="17" t="s">
        <v>153</v>
      </c>
      <c r="E25" s="17">
        <v>60645</v>
      </c>
      <c r="F25" s="17" t="s">
        <v>69</v>
      </c>
      <c r="G25" s="17" t="s">
        <v>97</v>
      </c>
      <c r="H25" s="17" t="s">
        <v>74</v>
      </c>
      <c r="I25" s="19">
        <v>46280</v>
      </c>
      <c r="J25" s="17"/>
      <c r="K25" s="17"/>
      <c r="L25" s="11"/>
      <c r="M25" s="17"/>
      <c r="N25" s="17"/>
      <c r="O25" s="11"/>
      <c r="P25" s="17"/>
      <c r="Q25" s="17" t="s">
        <v>50</v>
      </c>
      <c r="R25" s="19">
        <v>46301</v>
      </c>
      <c r="S25" s="11" t="s">
        <v>433</v>
      </c>
    </row>
    <row r="26" spans="1:19" ht="14.25" customHeight="1">
      <c r="A26" s="15" t="s">
        <v>449</v>
      </c>
      <c r="B26" s="17" t="s">
        <v>450</v>
      </c>
      <c r="C26" s="17" t="s">
        <v>451</v>
      </c>
      <c r="D26" s="17" t="s">
        <v>153</v>
      </c>
      <c r="E26" s="17">
        <v>60641</v>
      </c>
      <c r="F26" s="17" t="s">
        <v>69</v>
      </c>
      <c r="G26" s="17" t="s">
        <v>97</v>
      </c>
      <c r="H26" s="17" t="s">
        <v>74</v>
      </c>
      <c r="I26" s="19">
        <v>46283</v>
      </c>
      <c r="J26" s="17"/>
      <c r="K26" s="17"/>
      <c r="L26" s="11"/>
      <c r="M26" s="17"/>
      <c r="N26" s="17"/>
      <c r="O26" s="11"/>
      <c r="P26" s="17"/>
      <c r="Q26" s="17" t="s">
        <v>50</v>
      </c>
      <c r="R26" s="19">
        <v>46301</v>
      </c>
      <c r="S26" s="11" t="s">
        <v>433</v>
      </c>
    </row>
    <row r="27" spans="1:19" ht="14.25" customHeight="1">
      <c r="A27" s="15" t="s">
        <v>452</v>
      </c>
      <c r="B27" s="17" t="s">
        <v>453</v>
      </c>
      <c r="C27" s="17" t="s">
        <v>454</v>
      </c>
      <c r="D27" s="17" t="s">
        <v>153</v>
      </c>
      <c r="E27" s="17">
        <v>60610</v>
      </c>
      <c r="F27" s="17" t="s">
        <v>69</v>
      </c>
      <c r="G27" s="17" t="s">
        <v>455</v>
      </c>
      <c r="H27" s="17" t="s">
        <v>74</v>
      </c>
      <c r="I27" s="19">
        <v>46287</v>
      </c>
      <c r="J27" s="17"/>
      <c r="K27" s="17"/>
      <c r="L27" s="11"/>
      <c r="M27" s="17"/>
      <c r="N27" s="17"/>
      <c r="O27" s="11"/>
      <c r="P27" s="17"/>
      <c r="Q27" s="17" t="s">
        <v>57</v>
      </c>
      <c r="R27" s="19">
        <v>46303</v>
      </c>
      <c r="S27" s="11" t="s">
        <v>433</v>
      </c>
    </row>
    <row r="28" spans="1:19" ht="14.25" customHeight="1">
      <c r="A28" s="15" t="s">
        <v>456</v>
      </c>
      <c r="B28" s="17" t="s">
        <v>457</v>
      </c>
      <c r="C28" s="17"/>
      <c r="D28" s="17" t="s">
        <v>458</v>
      </c>
      <c r="E28" s="17"/>
      <c r="F28" s="17"/>
      <c r="G28" s="17"/>
      <c r="H28" s="17" t="s">
        <v>459</v>
      </c>
      <c r="I28" s="19"/>
      <c r="J28" s="17"/>
      <c r="K28" s="17"/>
      <c r="L28" s="11"/>
      <c r="M28" s="17"/>
      <c r="N28" s="17"/>
      <c r="O28" s="11"/>
      <c r="P28" s="17"/>
      <c r="Q28" s="17" t="s">
        <v>40</v>
      </c>
      <c r="R28" s="19"/>
      <c r="S28" s="11" t="s">
        <v>460</v>
      </c>
    </row>
    <row r="29" spans="1:19" ht="14.25" customHeight="1">
      <c r="A29" s="15" t="s">
        <v>461</v>
      </c>
      <c r="B29" s="17" t="s">
        <v>253</v>
      </c>
      <c r="C29" s="17" t="s">
        <v>462</v>
      </c>
      <c r="D29" s="17" t="s">
        <v>153</v>
      </c>
      <c r="E29" s="17">
        <v>60613</v>
      </c>
      <c r="F29" s="17" t="s">
        <v>463</v>
      </c>
      <c r="G29" s="17" t="s">
        <v>156</v>
      </c>
      <c r="H29" s="17" t="s">
        <v>74</v>
      </c>
      <c r="I29" s="19">
        <v>46288</v>
      </c>
      <c r="J29" s="17"/>
      <c r="K29" s="17"/>
      <c r="L29" s="11"/>
      <c r="M29" s="17"/>
      <c r="N29" s="17"/>
      <c r="O29" s="11"/>
      <c r="P29" s="17"/>
      <c r="Q29" s="17" t="s">
        <v>50</v>
      </c>
      <c r="R29" s="19"/>
      <c r="S29" s="11"/>
    </row>
    <row r="30" spans="1:19" ht="14.25" customHeight="1">
      <c r="A30" s="15" t="s">
        <v>81</v>
      </c>
      <c r="B30" s="17" t="s">
        <v>195</v>
      </c>
      <c r="C30" s="17" t="s">
        <v>464</v>
      </c>
      <c r="D30" s="17" t="s">
        <v>153</v>
      </c>
      <c r="E30" s="17">
        <v>60630</v>
      </c>
      <c r="F30" s="17" t="s">
        <v>69</v>
      </c>
      <c r="G30" s="17" t="s">
        <v>97</v>
      </c>
      <c r="H30" s="17" t="s">
        <v>74</v>
      </c>
      <c r="I30" s="19">
        <v>46288</v>
      </c>
      <c r="J30" s="17"/>
      <c r="K30" s="17"/>
      <c r="L30" s="11"/>
      <c r="M30" s="17"/>
      <c r="N30" s="17"/>
      <c r="O30" s="11"/>
      <c r="P30" s="17"/>
      <c r="Q30" s="17" t="s">
        <v>50</v>
      </c>
      <c r="R30" s="19"/>
      <c r="S30" s="11"/>
    </row>
    <row r="31" spans="1:19" ht="14.25" customHeight="1">
      <c r="A31" s="15" t="s">
        <v>86</v>
      </c>
      <c r="B31" s="17" t="s">
        <v>205</v>
      </c>
      <c r="C31" s="17" t="s">
        <v>465</v>
      </c>
      <c r="D31" s="17" t="s">
        <v>93</v>
      </c>
      <c r="E31" s="17">
        <v>60070</v>
      </c>
      <c r="F31" s="17" t="s">
        <v>69</v>
      </c>
      <c r="G31" s="17" t="s">
        <v>97</v>
      </c>
      <c r="H31" s="17" t="s">
        <v>74</v>
      </c>
      <c r="I31" s="19">
        <v>46288</v>
      </c>
      <c r="J31" s="17"/>
      <c r="K31" s="17"/>
      <c r="L31" s="11"/>
      <c r="M31" s="17"/>
      <c r="N31" s="17"/>
      <c r="O31" s="11"/>
      <c r="P31" s="17"/>
      <c r="Q31" s="17" t="s">
        <v>50</v>
      </c>
      <c r="R31" s="19"/>
      <c r="S31" s="11"/>
    </row>
    <row r="32" spans="1:19" ht="14.25" customHeight="1">
      <c r="A32" s="15" t="s">
        <v>466</v>
      </c>
      <c r="B32" s="17" t="s">
        <v>467</v>
      </c>
      <c r="C32" s="17" t="s">
        <v>468</v>
      </c>
      <c r="D32" s="17" t="s">
        <v>153</v>
      </c>
      <c r="E32" s="17">
        <v>60660</v>
      </c>
      <c r="F32" s="17" t="s">
        <v>69</v>
      </c>
      <c r="G32" s="17" t="s">
        <v>97</v>
      </c>
      <c r="H32" s="17" t="s">
        <v>74</v>
      </c>
      <c r="I32" s="19">
        <v>46289</v>
      </c>
      <c r="J32" s="17"/>
      <c r="K32" s="17"/>
      <c r="L32" s="11"/>
      <c r="M32" s="17"/>
      <c r="N32" s="17"/>
      <c r="O32" s="11"/>
      <c r="P32" s="17"/>
      <c r="Q32" s="17" t="s">
        <v>50</v>
      </c>
      <c r="R32" s="19"/>
      <c r="S32" s="11"/>
    </row>
    <row r="33" spans="1:19" ht="14.25" customHeight="1">
      <c r="A33" s="15" t="s">
        <v>469</v>
      </c>
      <c r="B33" s="17" t="s">
        <v>470</v>
      </c>
      <c r="C33" s="17" t="s">
        <v>471</v>
      </c>
      <c r="D33" s="17" t="s">
        <v>153</v>
      </c>
      <c r="E33" s="17">
        <v>60647</v>
      </c>
      <c r="F33" s="17" t="s">
        <v>69</v>
      </c>
      <c r="G33" s="17" t="s">
        <v>156</v>
      </c>
      <c r="H33" s="17" t="s">
        <v>74</v>
      </c>
      <c r="I33" s="19">
        <v>46290</v>
      </c>
      <c r="J33" s="17"/>
      <c r="K33" s="17"/>
      <c r="L33" s="11"/>
      <c r="M33" s="17"/>
      <c r="N33" s="17"/>
      <c r="O33" s="11"/>
      <c r="P33" s="17"/>
      <c r="Q33" s="17" t="s">
        <v>50</v>
      </c>
      <c r="R33" s="19"/>
      <c r="S33" s="11"/>
    </row>
    <row r="34" spans="1:19" ht="14.25" customHeight="1">
      <c r="A34" s="15" t="s">
        <v>94</v>
      </c>
      <c r="B34" s="17" t="s">
        <v>472</v>
      </c>
      <c r="C34" s="17" t="s">
        <v>473</v>
      </c>
      <c r="D34" s="17" t="s">
        <v>474</v>
      </c>
      <c r="E34" s="17">
        <v>60195</v>
      </c>
      <c r="F34" s="17"/>
      <c r="G34" s="17" t="s">
        <v>316</v>
      </c>
      <c r="H34" s="17"/>
      <c r="I34" s="19"/>
      <c r="J34" s="17"/>
      <c r="K34" s="17"/>
      <c r="L34" s="11"/>
      <c r="M34" s="17"/>
      <c r="N34" s="17"/>
      <c r="O34" s="11"/>
      <c r="P34" s="17"/>
      <c r="Q34" s="17" t="s">
        <v>40</v>
      </c>
      <c r="R34" s="19"/>
      <c r="S34" s="11" t="s">
        <v>475</v>
      </c>
    </row>
    <row r="35" spans="1:19" ht="14.25" customHeight="1">
      <c r="A35" s="15" t="s">
        <v>102</v>
      </c>
      <c r="B35" s="17" t="s">
        <v>476</v>
      </c>
      <c r="C35" s="17" t="s">
        <v>477</v>
      </c>
      <c r="D35" s="17" t="s">
        <v>173</v>
      </c>
      <c r="E35" s="17">
        <v>60053</v>
      </c>
      <c r="F35" s="17" t="s">
        <v>193</v>
      </c>
      <c r="G35" s="17" t="s">
        <v>119</v>
      </c>
      <c r="H35" s="17" t="s">
        <v>74</v>
      </c>
      <c r="I35" s="19"/>
      <c r="J35" s="17"/>
      <c r="K35" s="17"/>
      <c r="L35" s="11"/>
      <c r="M35" s="17"/>
      <c r="N35" s="17"/>
      <c r="O35" s="11"/>
      <c r="P35" s="17"/>
      <c r="Q35" s="17" t="s">
        <v>50</v>
      </c>
      <c r="R35" s="19"/>
      <c r="S35" s="11" t="s">
        <v>478</v>
      </c>
    </row>
    <row r="36" spans="1:19" ht="14.25" customHeight="1">
      <c r="A36" s="29" t="s">
        <v>106</v>
      </c>
      <c r="B36" s="6" t="s">
        <v>479</v>
      </c>
      <c r="C36" s="6" t="s">
        <v>480</v>
      </c>
      <c r="D36" s="17" t="s">
        <v>173</v>
      </c>
      <c r="E36" s="17">
        <v>60053</v>
      </c>
      <c r="F36" s="17" t="s">
        <v>69</v>
      </c>
      <c r="G36" s="17" t="s">
        <v>119</v>
      </c>
      <c r="H36" s="17" t="s">
        <v>74</v>
      </c>
      <c r="I36" s="18">
        <v>46296</v>
      </c>
      <c r="J36" s="6"/>
      <c r="K36" s="6"/>
      <c r="L36" s="9"/>
      <c r="M36" s="6"/>
      <c r="N36" s="6"/>
      <c r="O36" s="9"/>
      <c r="P36" s="6"/>
      <c r="Q36" s="6" t="s">
        <v>40</v>
      </c>
      <c r="R36" s="18"/>
      <c r="S36" s="9"/>
    </row>
    <row r="37" spans="1:19" ht="14.25" customHeight="1">
      <c r="A37" s="29" t="s">
        <v>481</v>
      </c>
      <c r="B37" s="6" t="s">
        <v>482</v>
      </c>
      <c r="C37" s="6" t="s">
        <v>480</v>
      </c>
      <c r="D37" s="17" t="s">
        <v>173</v>
      </c>
      <c r="E37" s="17">
        <v>60053</v>
      </c>
      <c r="F37" s="17" t="s">
        <v>69</v>
      </c>
      <c r="G37" s="17" t="s">
        <v>119</v>
      </c>
      <c r="H37" s="17" t="s">
        <v>74</v>
      </c>
      <c r="I37" s="18">
        <v>46296</v>
      </c>
      <c r="J37" s="6"/>
      <c r="K37" s="6"/>
      <c r="L37" s="9"/>
      <c r="M37" s="6"/>
      <c r="N37" s="6"/>
      <c r="O37" s="9"/>
      <c r="P37" s="6"/>
      <c r="Q37" s="6" t="s">
        <v>40</v>
      </c>
      <c r="R37" s="18"/>
      <c r="S37" s="9"/>
    </row>
    <row r="38" spans="1:19" ht="14.25" customHeight="1">
      <c r="A38" s="29"/>
      <c r="B38" s="6"/>
      <c r="C38" s="6"/>
      <c r="D38" s="6"/>
      <c r="E38" s="6"/>
      <c r="F38" s="6"/>
      <c r="G38" s="6"/>
      <c r="H38" s="6"/>
      <c r="I38" s="18"/>
      <c r="J38" s="6"/>
      <c r="K38" s="6"/>
      <c r="L38" s="9"/>
      <c r="M38" s="6"/>
      <c r="N38" s="6"/>
      <c r="O38" s="9"/>
      <c r="P38" s="6"/>
      <c r="Q38" s="6"/>
      <c r="R38" s="18"/>
      <c r="S38" s="9"/>
    </row>
    <row r="39" spans="1:19" ht="14.25" customHeight="1">
      <c r="A39" s="29"/>
      <c r="B39" s="6"/>
      <c r="C39" s="6"/>
      <c r="D39" s="6"/>
      <c r="E39" s="6"/>
      <c r="F39" s="6"/>
      <c r="G39" s="6"/>
      <c r="H39" s="6"/>
      <c r="I39" s="18"/>
      <c r="J39" s="6"/>
      <c r="K39" s="6"/>
      <c r="L39" s="9"/>
      <c r="M39" s="6"/>
      <c r="N39" s="6"/>
      <c r="O39" s="9"/>
      <c r="P39" s="6"/>
      <c r="Q39" s="6"/>
      <c r="R39" s="18"/>
      <c r="S39" s="9"/>
    </row>
    <row r="40" spans="1:19" ht="14.25" customHeight="1">
      <c r="A40" s="29"/>
      <c r="B40" s="6"/>
      <c r="C40" s="6"/>
      <c r="D40" s="6"/>
      <c r="E40" s="6"/>
      <c r="F40" s="6"/>
      <c r="G40" s="6"/>
      <c r="H40" s="6"/>
      <c r="I40" s="18"/>
      <c r="J40" s="6"/>
      <c r="K40" s="6"/>
      <c r="L40" s="9"/>
      <c r="M40" s="6"/>
      <c r="N40" s="6"/>
      <c r="O40" s="9"/>
      <c r="P40" s="6"/>
      <c r="Q40" s="6"/>
      <c r="R40" s="18"/>
      <c r="S40" s="9"/>
    </row>
    <row r="41" spans="1:19" ht="14.25" customHeight="1">
      <c r="A41" s="29"/>
      <c r="B41" s="6"/>
      <c r="C41" s="6"/>
      <c r="D41" s="6"/>
      <c r="E41" s="6"/>
      <c r="F41" s="6"/>
      <c r="G41" s="6"/>
      <c r="H41" s="6"/>
      <c r="I41" s="18"/>
      <c r="J41" s="6"/>
      <c r="K41" s="6"/>
      <c r="L41" s="9"/>
      <c r="M41" s="6"/>
      <c r="N41" s="6"/>
      <c r="O41" s="9"/>
      <c r="P41" s="6"/>
      <c r="Q41" s="6"/>
      <c r="R41" s="18"/>
      <c r="S41" s="9"/>
    </row>
    <row r="42" spans="1:19" ht="14.25" customHeight="1">
      <c r="A42" s="29"/>
      <c r="B42" s="6"/>
      <c r="C42" s="6"/>
      <c r="D42" s="6"/>
      <c r="E42" s="6"/>
      <c r="F42" s="6"/>
      <c r="G42" s="6"/>
      <c r="H42" s="6"/>
      <c r="I42" s="18"/>
      <c r="J42" s="6"/>
      <c r="K42" s="6"/>
      <c r="L42" s="9"/>
      <c r="M42" s="6"/>
      <c r="N42" s="6"/>
      <c r="O42" s="9"/>
      <c r="P42" s="6"/>
      <c r="Q42" s="6"/>
      <c r="R42" s="18"/>
      <c r="S42" s="9"/>
    </row>
    <row r="43" spans="1:19" ht="14.25" customHeight="1">
      <c r="A43" s="29"/>
      <c r="B43" s="6"/>
      <c r="C43" s="6"/>
      <c r="D43" s="6"/>
      <c r="E43" s="6"/>
      <c r="F43" s="6"/>
      <c r="G43" s="6"/>
      <c r="H43" s="6"/>
      <c r="I43" s="18"/>
      <c r="J43" s="6"/>
      <c r="K43" s="6"/>
      <c r="L43" s="9"/>
      <c r="M43" s="6"/>
      <c r="N43" s="6"/>
      <c r="O43" s="9"/>
      <c r="P43" s="6"/>
      <c r="Q43" s="6"/>
      <c r="R43" s="18"/>
      <c r="S43" s="9"/>
    </row>
    <row r="44" spans="1:19" ht="14.25" customHeight="1">
      <c r="A44" s="29"/>
      <c r="B44" s="6"/>
      <c r="C44" s="6"/>
      <c r="D44" s="6"/>
      <c r="E44" s="6"/>
      <c r="F44" s="6"/>
      <c r="G44" s="6"/>
      <c r="H44" s="6"/>
      <c r="I44" s="18"/>
      <c r="J44" s="6"/>
      <c r="K44" s="6"/>
      <c r="L44" s="9"/>
      <c r="M44" s="6"/>
      <c r="N44" s="6"/>
      <c r="O44" s="9"/>
      <c r="P44" s="6"/>
      <c r="Q44" s="6"/>
      <c r="R44" s="18"/>
      <c r="S44" s="9"/>
    </row>
    <row r="45" spans="1:19" ht="14.25" customHeight="1">
      <c r="A45" s="29"/>
      <c r="B45" s="6"/>
      <c r="C45" s="6"/>
      <c r="D45" s="6"/>
      <c r="E45" s="6"/>
      <c r="F45" s="6"/>
      <c r="G45" s="6"/>
      <c r="H45" s="6"/>
      <c r="I45" s="18"/>
      <c r="J45" s="6"/>
      <c r="K45" s="6"/>
      <c r="L45" s="9"/>
      <c r="M45" s="6"/>
      <c r="N45" s="6"/>
      <c r="O45" s="9"/>
      <c r="P45" s="6"/>
      <c r="Q45" s="6"/>
      <c r="R45" s="18"/>
      <c r="S45" s="9"/>
    </row>
    <row r="46" spans="1:19" ht="14.25" customHeight="1">
      <c r="A46" s="29"/>
      <c r="B46" s="6"/>
      <c r="C46" s="6"/>
      <c r="D46" s="6"/>
      <c r="E46" s="6"/>
      <c r="F46" s="6"/>
      <c r="G46" s="6"/>
      <c r="H46" s="6"/>
      <c r="I46" s="18"/>
      <c r="J46" s="6"/>
      <c r="K46" s="6"/>
      <c r="L46" s="9"/>
      <c r="M46" s="6"/>
      <c r="N46" s="6"/>
      <c r="O46" s="9"/>
      <c r="P46" s="6"/>
      <c r="Q46" s="6"/>
      <c r="R46" s="18"/>
      <c r="S46" s="9"/>
    </row>
    <row r="47" spans="1:19" ht="14.25" customHeight="1">
      <c r="A47" s="29"/>
      <c r="B47" s="6"/>
      <c r="C47" s="6"/>
      <c r="D47" s="6"/>
      <c r="E47" s="6"/>
      <c r="F47" s="6"/>
      <c r="G47" s="6"/>
      <c r="H47" s="6"/>
      <c r="I47" s="18"/>
      <c r="J47" s="6"/>
      <c r="K47" s="6"/>
      <c r="L47" s="9"/>
      <c r="M47" s="6"/>
      <c r="N47" s="6"/>
      <c r="O47" s="9"/>
      <c r="P47" s="6"/>
      <c r="Q47" s="6"/>
      <c r="R47" s="18"/>
      <c r="S47" s="9"/>
    </row>
    <row r="48" spans="1:19" ht="14.25" customHeight="1">
      <c r="A48" s="29"/>
      <c r="B48" s="6"/>
      <c r="C48" s="6"/>
      <c r="D48" s="6"/>
      <c r="E48" s="6"/>
      <c r="F48" s="6"/>
      <c r="G48" s="6"/>
      <c r="H48" s="6"/>
      <c r="I48" s="18"/>
      <c r="J48" s="6"/>
      <c r="K48" s="6"/>
      <c r="L48" s="9"/>
      <c r="M48" s="6"/>
      <c r="N48" s="6"/>
      <c r="O48" s="9"/>
      <c r="P48" s="6"/>
      <c r="Q48" s="6"/>
      <c r="R48" s="18"/>
      <c r="S48" s="9"/>
    </row>
    <row r="49" spans="1:19" ht="14.25" customHeight="1">
      <c r="A49" s="29"/>
      <c r="B49" s="6"/>
      <c r="C49" s="6"/>
      <c r="D49" s="6"/>
      <c r="E49" s="6"/>
      <c r="F49" s="6"/>
      <c r="G49" s="6"/>
      <c r="H49" s="6"/>
      <c r="I49" s="18"/>
      <c r="J49" s="6"/>
      <c r="K49" s="6"/>
      <c r="L49" s="9"/>
      <c r="M49" s="6"/>
      <c r="N49" s="6"/>
      <c r="O49" s="9"/>
      <c r="P49" s="6"/>
      <c r="Q49" s="6"/>
      <c r="R49" s="18"/>
      <c r="S49" s="9"/>
    </row>
    <row r="50" spans="1:19" ht="14.25" customHeight="1">
      <c r="A50" s="29"/>
      <c r="B50" s="6"/>
      <c r="C50" s="6"/>
      <c r="D50" s="6"/>
      <c r="E50" s="6"/>
      <c r="F50" s="6"/>
      <c r="G50" s="6"/>
      <c r="H50" s="6"/>
      <c r="I50" s="18"/>
      <c r="J50" s="6"/>
      <c r="K50" s="6"/>
      <c r="L50" s="9"/>
      <c r="M50" s="6"/>
      <c r="N50" s="6"/>
      <c r="O50" s="9"/>
      <c r="P50" s="6"/>
      <c r="Q50" s="6"/>
      <c r="R50" s="18"/>
      <c r="S50" s="9"/>
    </row>
    <row r="51" spans="1:19" ht="14.25" customHeight="1">
      <c r="A51" s="29"/>
      <c r="B51" s="6"/>
      <c r="C51" s="6"/>
      <c r="D51" s="6"/>
      <c r="E51" s="6"/>
      <c r="F51" s="6"/>
      <c r="G51" s="6"/>
      <c r="H51" s="6"/>
      <c r="I51" s="18"/>
      <c r="J51" s="6"/>
      <c r="K51" s="6"/>
      <c r="L51" s="9"/>
      <c r="M51" s="6"/>
      <c r="N51" s="6"/>
      <c r="O51" s="9"/>
      <c r="P51" s="6"/>
      <c r="Q51" s="6"/>
      <c r="R51" s="18"/>
      <c r="S51" s="9"/>
    </row>
    <row r="52" spans="1:19" ht="14.25" customHeight="1">
      <c r="A52" s="29"/>
      <c r="B52" s="6"/>
      <c r="C52" s="6"/>
      <c r="D52" s="6"/>
      <c r="E52" s="6"/>
      <c r="F52" s="6"/>
      <c r="G52" s="6"/>
      <c r="H52" s="6"/>
      <c r="I52" s="18"/>
      <c r="J52" s="6"/>
      <c r="K52" s="6"/>
      <c r="L52" s="9"/>
      <c r="M52" s="6"/>
      <c r="N52" s="6"/>
      <c r="O52" s="9"/>
      <c r="P52" s="6"/>
      <c r="Q52" s="6"/>
      <c r="R52" s="18"/>
      <c r="S52" s="9"/>
    </row>
    <row r="53" spans="1:19" ht="14.25" customHeight="1">
      <c r="A53" s="29"/>
      <c r="B53" s="6"/>
      <c r="C53" s="6"/>
      <c r="D53" s="6"/>
      <c r="E53" s="6"/>
      <c r="F53" s="6"/>
      <c r="G53" s="6"/>
      <c r="H53" s="6"/>
      <c r="I53" s="18"/>
      <c r="J53" s="6"/>
      <c r="K53" s="6"/>
      <c r="L53" s="9"/>
      <c r="M53" s="6"/>
      <c r="N53" s="6"/>
      <c r="O53" s="9"/>
      <c r="P53" s="6"/>
      <c r="Q53" s="6"/>
      <c r="R53" s="18"/>
      <c r="S53" s="9"/>
    </row>
    <row r="54" spans="1:19" ht="14.25" customHeight="1">
      <c r="A54" s="29"/>
      <c r="B54" s="6"/>
      <c r="C54" s="6"/>
      <c r="D54" s="6"/>
      <c r="E54" s="6"/>
      <c r="F54" s="6"/>
      <c r="G54" s="6"/>
      <c r="H54" s="6"/>
      <c r="I54" s="18"/>
      <c r="J54" s="6"/>
      <c r="K54" s="6"/>
      <c r="L54" s="9"/>
      <c r="M54" s="6"/>
      <c r="N54" s="6"/>
      <c r="O54" s="9"/>
      <c r="P54" s="6"/>
      <c r="Q54" s="6"/>
      <c r="R54" s="18"/>
      <c r="S54" s="9"/>
    </row>
    <row r="55" spans="1:19" ht="14.25" customHeight="1">
      <c r="A55" s="29"/>
      <c r="B55" s="6"/>
      <c r="C55" s="6"/>
      <c r="D55" s="6"/>
      <c r="E55" s="6"/>
      <c r="F55" s="6"/>
      <c r="G55" s="6"/>
      <c r="H55" s="6"/>
      <c r="I55" s="18"/>
      <c r="J55" s="6"/>
      <c r="K55" s="6"/>
      <c r="L55" s="9"/>
      <c r="M55" s="6"/>
      <c r="N55" s="6"/>
      <c r="O55" s="9"/>
      <c r="P55" s="6"/>
      <c r="Q55" s="6"/>
      <c r="R55" s="18"/>
      <c r="S55" s="9"/>
    </row>
    <row r="56" spans="1:19" ht="14.25" customHeight="1">
      <c r="A56" s="29"/>
      <c r="B56" s="6"/>
      <c r="C56" s="6"/>
      <c r="D56" s="6"/>
      <c r="E56" s="6"/>
      <c r="F56" s="6"/>
      <c r="G56" s="6"/>
      <c r="H56" s="6"/>
      <c r="I56" s="18"/>
      <c r="J56" s="6"/>
      <c r="K56" s="6"/>
      <c r="L56" s="9"/>
      <c r="M56" s="6"/>
      <c r="N56" s="6"/>
      <c r="O56" s="9"/>
      <c r="P56" s="6"/>
      <c r="Q56" s="6"/>
      <c r="R56" s="18"/>
      <c r="S56" s="9"/>
    </row>
    <row r="57" spans="1:19" ht="14.25" customHeight="1">
      <c r="A57" s="29"/>
      <c r="B57" s="6"/>
      <c r="C57" s="6"/>
      <c r="D57" s="6"/>
      <c r="E57" s="6"/>
      <c r="F57" s="6"/>
      <c r="G57" s="6"/>
      <c r="H57" s="6"/>
      <c r="I57" s="18"/>
      <c r="J57" s="6"/>
      <c r="K57" s="6"/>
      <c r="L57" s="9"/>
      <c r="M57" s="6"/>
      <c r="N57" s="6"/>
      <c r="O57" s="9"/>
      <c r="P57" s="6"/>
      <c r="Q57" s="6"/>
      <c r="R57" s="18"/>
      <c r="S57" s="9"/>
    </row>
    <row r="58" spans="1:19" ht="14.25" customHeight="1">
      <c r="A58" s="29"/>
      <c r="B58" s="6"/>
      <c r="C58" s="6"/>
      <c r="D58" s="6"/>
      <c r="E58" s="6"/>
      <c r="F58" s="6"/>
      <c r="G58" s="6"/>
      <c r="H58" s="6"/>
      <c r="I58" s="18"/>
      <c r="J58" s="6"/>
      <c r="K58" s="6"/>
      <c r="L58" s="9"/>
      <c r="M58" s="6"/>
      <c r="N58" s="6"/>
      <c r="O58" s="9"/>
      <c r="P58" s="6"/>
      <c r="Q58" s="6"/>
      <c r="R58" s="18"/>
      <c r="S58" s="9"/>
    </row>
    <row r="59" spans="1:19" ht="14.25" customHeight="1">
      <c r="A59" s="29"/>
      <c r="B59" s="6"/>
      <c r="C59" s="6"/>
      <c r="D59" s="6"/>
      <c r="E59" s="6"/>
      <c r="F59" s="6"/>
      <c r="G59" s="6"/>
      <c r="H59" s="6"/>
      <c r="I59" s="18"/>
      <c r="J59" s="6"/>
      <c r="K59" s="6"/>
      <c r="L59" s="9"/>
      <c r="M59" s="6"/>
      <c r="N59" s="6"/>
      <c r="O59" s="9"/>
      <c r="P59" s="6"/>
      <c r="Q59" s="6"/>
      <c r="R59" s="18"/>
      <c r="S59" s="9"/>
    </row>
    <row r="60" spans="1:19" ht="14.25" customHeight="1">
      <c r="A60" s="29"/>
      <c r="B60" s="6"/>
      <c r="C60" s="6"/>
      <c r="D60" s="6"/>
      <c r="E60" s="6"/>
      <c r="F60" s="6"/>
      <c r="G60" s="6"/>
      <c r="H60" s="6"/>
      <c r="I60" s="18"/>
      <c r="J60" s="6"/>
      <c r="K60" s="6"/>
      <c r="L60" s="9"/>
      <c r="M60" s="6"/>
      <c r="N60" s="6"/>
      <c r="O60" s="9"/>
      <c r="P60" s="6"/>
      <c r="Q60" s="6"/>
      <c r="R60" s="18"/>
      <c r="S60" s="9"/>
    </row>
    <row r="61" spans="1:19" ht="14.25" customHeight="1">
      <c r="A61" s="29"/>
      <c r="B61" s="6"/>
      <c r="C61" s="6"/>
      <c r="D61" s="6"/>
      <c r="E61" s="6"/>
      <c r="F61" s="6"/>
      <c r="G61" s="6"/>
      <c r="H61" s="6"/>
      <c r="I61" s="18"/>
      <c r="J61" s="6"/>
      <c r="K61" s="6"/>
      <c r="L61" s="9"/>
      <c r="M61" s="6"/>
      <c r="N61" s="6"/>
      <c r="O61" s="9"/>
      <c r="P61" s="6"/>
      <c r="Q61" s="6"/>
      <c r="R61" s="18"/>
      <c r="S61" s="9"/>
    </row>
    <row r="62" spans="1:19" ht="14.25" customHeight="1">
      <c r="A62" s="29"/>
      <c r="B62" s="6"/>
      <c r="C62" s="6"/>
      <c r="D62" s="6"/>
      <c r="E62" s="6"/>
      <c r="F62" s="6"/>
      <c r="G62" s="6"/>
      <c r="H62" s="6"/>
      <c r="I62" s="18"/>
      <c r="J62" s="6"/>
      <c r="K62" s="6"/>
      <c r="L62" s="9"/>
      <c r="M62" s="6"/>
      <c r="N62" s="6"/>
      <c r="O62" s="9"/>
      <c r="P62" s="6"/>
      <c r="Q62" s="6"/>
      <c r="R62" s="18"/>
      <c r="S62" s="9"/>
    </row>
    <row r="63" spans="1:19" ht="14.25" customHeight="1">
      <c r="A63" s="29"/>
      <c r="B63" s="6"/>
      <c r="C63" s="6"/>
      <c r="D63" s="6"/>
      <c r="E63" s="6"/>
      <c r="F63" s="6"/>
      <c r="G63" s="6"/>
      <c r="H63" s="6"/>
      <c r="I63" s="18"/>
      <c r="J63" s="6"/>
      <c r="K63" s="6"/>
      <c r="L63" s="9"/>
      <c r="M63" s="6"/>
      <c r="N63" s="6"/>
      <c r="O63" s="9"/>
      <c r="P63" s="6"/>
      <c r="Q63" s="6"/>
      <c r="R63" s="18"/>
      <c r="S63" s="9"/>
    </row>
    <row r="64" spans="1:19" ht="14.25" customHeight="1">
      <c r="A64" s="29"/>
      <c r="B64" s="6"/>
      <c r="C64" s="6"/>
      <c r="D64" s="6"/>
      <c r="E64" s="6"/>
      <c r="F64" s="6"/>
      <c r="G64" s="6"/>
      <c r="H64" s="6"/>
      <c r="I64" s="18"/>
      <c r="J64" s="6"/>
      <c r="K64" s="6"/>
      <c r="L64" s="9"/>
      <c r="M64" s="6"/>
      <c r="N64" s="6"/>
      <c r="O64" s="9"/>
      <c r="P64" s="6"/>
      <c r="Q64" s="6"/>
      <c r="R64" s="18"/>
      <c r="S64" s="9"/>
    </row>
    <row r="65" spans="1:19" ht="14.25" customHeight="1">
      <c r="A65" s="29"/>
      <c r="B65" s="6"/>
      <c r="C65" s="6"/>
      <c r="D65" s="6"/>
      <c r="E65" s="6"/>
      <c r="F65" s="6"/>
      <c r="G65" s="6"/>
      <c r="H65" s="6"/>
      <c r="I65" s="18"/>
      <c r="J65" s="6"/>
      <c r="K65" s="6"/>
      <c r="L65" s="9"/>
      <c r="M65" s="6"/>
      <c r="N65" s="6"/>
      <c r="O65" s="9"/>
      <c r="P65" s="6"/>
      <c r="Q65" s="6"/>
      <c r="R65" s="18"/>
      <c r="S65" s="9"/>
    </row>
    <row r="66" spans="1:19" ht="14.25" customHeight="1">
      <c r="A66" s="29"/>
      <c r="B66" s="6"/>
      <c r="C66" s="6"/>
      <c r="D66" s="6"/>
      <c r="E66" s="6"/>
      <c r="F66" s="6"/>
      <c r="G66" s="6"/>
      <c r="H66" s="6"/>
      <c r="I66" s="18"/>
      <c r="J66" s="6"/>
      <c r="K66" s="6"/>
      <c r="L66" s="9"/>
      <c r="M66" s="6"/>
      <c r="N66" s="6"/>
      <c r="O66" s="9"/>
      <c r="P66" s="6"/>
      <c r="Q66" s="6"/>
      <c r="R66" s="18"/>
      <c r="S66" s="9"/>
    </row>
    <row r="67" spans="1:19" ht="14.25" customHeight="1">
      <c r="A67" s="29"/>
      <c r="B67" s="6"/>
      <c r="C67" s="6"/>
      <c r="D67" s="6"/>
      <c r="E67" s="6"/>
      <c r="F67" s="6"/>
      <c r="G67" s="6"/>
      <c r="H67" s="6"/>
      <c r="I67" s="18"/>
      <c r="J67" s="6"/>
      <c r="K67" s="6"/>
      <c r="L67" s="9"/>
      <c r="M67" s="6"/>
      <c r="N67" s="6"/>
      <c r="O67" s="9"/>
      <c r="P67" s="6"/>
      <c r="Q67" s="6"/>
      <c r="R67" s="18"/>
      <c r="S67" s="9"/>
    </row>
    <row r="68" spans="1:19" ht="14.25" customHeight="1">
      <c r="A68" s="29"/>
      <c r="B68" s="6"/>
      <c r="C68" s="6"/>
      <c r="D68" s="6"/>
      <c r="E68" s="6"/>
      <c r="F68" s="6"/>
      <c r="G68" s="6"/>
      <c r="H68" s="6"/>
      <c r="I68" s="18"/>
      <c r="J68" s="6"/>
      <c r="K68" s="6"/>
      <c r="L68" s="9"/>
      <c r="M68" s="6"/>
      <c r="N68" s="6"/>
      <c r="O68" s="9"/>
      <c r="P68" s="6"/>
      <c r="Q68" s="6"/>
      <c r="R68" s="18"/>
      <c r="S68" s="9"/>
    </row>
    <row r="69" spans="1:19" ht="14.25" customHeight="1">
      <c r="A69" s="29"/>
      <c r="B69" s="6"/>
      <c r="C69" s="6"/>
      <c r="D69" s="6"/>
      <c r="E69" s="6"/>
      <c r="F69" s="6"/>
      <c r="G69" s="6"/>
      <c r="H69" s="6"/>
      <c r="I69" s="18"/>
      <c r="J69" s="6"/>
      <c r="K69" s="6"/>
      <c r="L69" s="9"/>
      <c r="M69" s="6"/>
      <c r="N69" s="6"/>
      <c r="O69" s="9"/>
      <c r="P69" s="6"/>
      <c r="Q69" s="6"/>
      <c r="R69" s="18"/>
      <c r="S69" s="9"/>
    </row>
    <row r="70" spans="1:19" ht="14.25" customHeight="1">
      <c r="A70" s="29"/>
      <c r="B70" s="6"/>
      <c r="C70" s="6"/>
      <c r="D70" s="6"/>
      <c r="E70" s="6"/>
      <c r="F70" s="6"/>
      <c r="G70" s="6"/>
      <c r="H70" s="6"/>
      <c r="I70" s="18"/>
      <c r="J70" s="6"/>
      <c r="K70" s="6"/>
      <c r="L70" s="9"/>
      <c r="M70" s="6"/>
      <c r="N70" s="6"/>
      <c r="O70" s="9"/>
      <c r="P70" s="6"/>
      <c r="Q70" s="6"/>
      <c r="R70" s="18"/>
      <c r="S70" s="9"/>
    </row>
    <row r="71" spans="1:19" ht="14.25" customHeight="1">
      <c r="A71" s="29"/>
      <c r="B71" s="6"/>
      <c r="C71" s="6"/>
      <c r="D71" s="6"/>
      <c r="E71" s="6"/>
      <c r="F71" s="6"/>
      <c r="G71" s="6"/>
      <c r="H71" s="6"/>
      <c r="I71" s="18"/>
      <c r="J71" s="6"/>
      <c r="K71" s="6"/>
      <c r="L71" s="9"/>
      <c r="M71" s="6"/>
      <c r="N71" s="6"/>
      <c r="O71" s="9"/>
      <c r="P71" s="6"/>
      <c r="Q71" s="6"/>
      <c r="R71" s="18"/>
      <c r="S71" s="9"/>
    </row>
    <row r="72" spans="1:19" ht="14.25" customHeight="1">
      <c r="A72" s="29"/>
      <c r="B72" s="6"/>
      <c r="C72" s="6"/>
      <c r="D72" s="6"/>
      <c r="E72" s="6"/>
      <c r="F72" s="6"/>
      <c r="G72" s="6"/>
      <c r="H72" s="6"/>
      <c r="I72" s="18"/>
      <c r="J72" s="6"/>
      <c r="K72" s="6"/>
      <c r="L72" s="9"/>
      <c r="M72" s="6"/>
      <c r="N72" s="6"/>
      <c r="O72" s="9"/>
      <c r="P72" s="6"/>
      <c r="Q72" s="6"/>
      <c r="R72" s="18"/>
      <c r="S72" s="9"/>
    </row>
    <row r="73" spans="1:19" ht="14.25" customHeight="1">
      <c r="A73" s="29"/>
      <c r="B73" s="6"/>
      <c r="C73" s="6"/>
      <c r="D73" s="6"/>
      <c r="E73" s="6"/>
      <c r="F73" s="6"/>
      <c r="G73" s="6"/>
      <c r="H73" s="6"/>
      <c r="I73" s="18"/>
      <c r="J73" s="6"/>
      <c r="K73" s="6"/>
      <c r="L73" s="9"/>
      <c r="M73" s="6"/>
      <c r="N73" s="6"/>
      <c r="O73" s="9"/>
      <c r="P73" s="6"/>
      <c r="Q73" s="6"/>
      <c r="R73" s="18"/>
      <c r="S73" s="9"/>
    </row>
    <row r="74" spans="1:19" ht="14.25" customHeight="1">
      <c r="A74" s="29"/>
      <c r="B74" s="6"/>
      <c r="C74" s="6"/>
      <c r="D74" s="6"/>
      <c r="E74" s="6"/>
      <c r="F74" s="6"/>
      <c r="G74" s="6"/>
      <c r="H74" s="6"/>
      <c r="I74" s="18"/>
      <c r="J74" s="6"/>
      <c r="K74" s="6"/>
      <c r="L74" s="9"/>
      <c r="M74" s="6"/>
      <c r="N74" s="6"/>
      <c r="O74" s="9"/>
      <c r="P74" s="6"/>
      <c r="Q74" s="6"/>
      <c r="R74" s="18"/>
      <c r="S74" s="9"/>
    </row>
    <row r="75" spans="1:19" ht="14.25" customHeight="1">
      <c r="A75" s="29"/>
      <c r="B75" s="6"/>
      <c r="C75" s="6"/>
      <c r="D75" s="6"/>
      <c r="E75" s="6"/>
      <c r="F75" s="6"/>
      <c r="G75" s="6"/>
      <c r="H75" s="6"/>
      <c r="I75" s="18"/>
      <c r="J75" s="6"/>
      <c r="K75" s="6"/>
      <c r="L75" s="9"/>
      <c r="M75" s="6"/>
      <c r="N75" s="6"/>
      <c r="O75" s="9"/>
      <c r="P75" s="6"/>
      <c r="Q75" s="6"/>
      <c r="R75" s="18"/>
      <c r="S75" s="9"/>
    </row>
    <row r="76" spans="1:19" ht="14.25" customHeight="1">
      <c r="A76" s="29"/>
      <c r="B76" s="6"/>
      <c r="C76" s="6"/>
      <c r="D76" s="6"/>
      <c r="E76" s="6"/>
      <c r="F76" s="6"/>
      <c r="G76" s="6"/>
      <c r="H76" s="6"/>
      <c r="I76" s="18"/>
      <c r="J76" s="6"/>
      <c r="K76" s="6"/>
      <c r="L76" s="9"/>
      <c r="M76" s="6"/>
      <c r="N76" s="6"/>
      <c r="O76" s="9"/>
      <c r="P76" s="6"/>
      <c r="Q76" s="6"/>
      <c r="R76" s="18"/>
      <c r="S76" s="9"/>
    </row>
    <row r="77" spans="1:19" ht="14.25" customHeight="1">
      <c r="A77" s="29"/>
      <c r="B77" s="6"/>
      <c r="C77" s="6"/>
      <c r="D77" s="6"/>
      <c r="E77" s="6"/>
      <c r="F77" s="6"/>
      <c r="G77" s="6"/>
      <c r="H77" s="6"/>
      <c r="I77" s="18"/>
      <c r="J77" s="6"/>
      <c r="K77" s="6"/>
      <c r="L77" s="9"/>
      <c r="M77" s="6"/>
      <c r="N77" s="6"/>
      <c r="O77" s="9"/>
      <c r="P77" s="6"/>
      <c r="Q77" s="6"/>
      <c r="R77" s="18"/>
      <c r="S77" s="9"/>
    </row>
    <row r="78" spans="1:19" ht="14.25" customHeight="1">
      <c r="A78" s="29"/>
      <c r="B78" s="6"/>
      <c r="C78" s="6"/>
      <c r="D78" s="6"/>
      <c r="E78" s="6"/>
      <c r="F78" s="6"/>
      <c r="G78" s="6"/>
      <c r="H78" s="6"/>
      <c r="I78" s="18"/>
      <c r="J78" s="6"/>
      <c r="K78" s="6"/>
      <c r="L78" s="9"/>
      <c r="M78" s="6"/>
      <c r="N78" s="6"/>
      <c r="O78" s="9"/>
      <c r="P78" s="6"/>
      <c r="Q78" s="6"/>
      <c r="R78" s="18"/>
      <c r="S78" s="9"/>
    </row>
    <row r="79" spans="1:19" ht="14.25" customHeight="1">
      <c r="A79" s="29"/>
      <c r="B79" s="6"/>
      <c r="C79" s="6"/>
      <c r="D79" s="6"/>
      <c r="E79" s="6"/>
      <c r="F79" s="6"/>
      <c r="G79" s="6"/>
      <c r="H79" s="6"/>
      <c r="I79" s="18"/>
      <c r="J79" s="6"/>
      <c r="K79" s="6"/>
      <c r="L79" s="9"/>
      <c r="M79" s="6"/>
      <c r="N79" s="6"/>
      <c r="O79" s="9"/>
      <c r="P79" s="6"/>
      <c r="Q79" s="6"/>
      <c r="R79" s="18"/>
      <c r="S79" s="9"/>
    </row>
    <row r="80" spans="1:19" ht="14.25" customHeight="1">
      <c r="A80" s="29"/>
      <c r="B80" s="6"/>
      <c r="C80" s="6"/>
      <c r="D80" s="6"/>
      <c r="E80" s="6"/>
      <c r="F80" s="6"/>
      <c r="G80" s="6"/>
      <c r="H80" s="6"/>
      <c r="I80" s="18"/>
      <c r="J80" s="6"/>
      <c r="K80" s="6"/>
      <c r="L80" s="9"/>
      <c r="M80" s="6"/>
      <c r="N80" s="6"/>
      <c r="O80" s="9"/>
      <c r="P80" s="6"/>
      <c r="Q80" s="6"/>
      <c r="R80" s="18"/>
      <c r="S80" s="9"/>
    </row>
    <row r="81" spans="1:19" ht="14.25" customHeight="1">
      <c r="A81" s="29"/>
      <c r="B81" s="6"/>
      <c r="C81" s="6"/>
      <c r="D81" s="6"/>
      <c r="E81" s="6"/>
      <c r="F81" s="6"/>
      <c r="G81" s="6"/>
      <c r="H81" s="6"/>
      <c r="I81" s="18"/>
      <c r="J81" s="6"/>
      <c r="K81" s="6"/>
      <c r="L81" s="9"/>
      <c r="M81" s="6"/>
      <c r="N81" s="6"/>
      <c r="O81" s="9"/>
      <c r="P81" s="6"/>
      <c r="Q81" s="6"/>
      <c r="R81" s="18"/>
      <c r="S81" s="9"/>
    </row>
    <row r="82" spans="1:19" ht="14.25" customHeight="1">
      <c r="A82" s="29"/>
      <c r="B82" s="6"/>
      <c r="C82" s="6"/>
      <c r="D82" s="6"/>
      <c r="E82" s="6"/>
      <c r="F82" s="6"/>
      <c r="G82" s="6"/>
      <c r="H82" s="6"/>
      <c r="I82" s="18"/>
      <c r="J82" s="6"/>
      <c r="K82" s="6"/>
      <c r="L82" s="9"/>
      <c r="M82" s="6"/>
      <c r="N82" s="6"/>
      <c r="O82" s="9"/>
      <c r="P82" s="6"/>
      <c r="Q82" s="6"/>
      <c r="R82" s="18"/>
      <c r="S82" s="9"/>
    </row>
    <row r="83" spans="1:19" ht="14.25" customHeight="1">
      <c r="A83" s="29"/>
      <c r="B83" s="6"/>
      <c r="C83" s="6"/>
      <c r="D83" s="6"/>
      <c r="E83" s="6"/>
      <c r="F83" s="6"/>
      <c r="G83" s="6"/>
      <c r="H83" s="6"/>
      <c r="I83" s="18"/>
      <c r="J83" s="6"/>
      <c r="K83" s="6"/>
      <c r="L83" s="9"/>
      <c r="M83" s="6"/>
      <c r="N83" s="6"/>
      <c r="O83" s="9"/>
      <c r="P83" s="6"/>
      <c r="Q83" s="6"/>
      <c r="R83" s="18"/>
      <c r="S83" s="9"/>
    </row>
    <row r="84" spans="1:19" ht="14.25" customHeight="1">
      <c r="A84" s="29"/>
      <c r="B84" s="6"/>
      <c r="C84" s="6"/>
      <c r="D84" s="6"/>
      <c r="E84" s="6"/>
      <c r="F84" s="6"/>
      <c r="G84" s="6"/>
      <c r="H84" s="6"/>
      <c r="I84" s="18"/>
      <c r="J84" s="6"/>
      <c r="K84" s="6"/>
      <c r="L84" s="9"/>
      <c r="M84" s="6"/>
      <c r="N84" s="6"/>
      <c r="O84" s="9"/>
      <c r="P84" s="6"/>
      <c r="Q84" s="6"/>
      <c r="R84" s="18"/>
      <c r="S84" s="9"/>
    </row>
    <row r="85" spans="1:19" ht="14.25" customHeight="1">
      <c r="A85" s="29"/>
      <c r="B85" s="6"/>
      <c r="C85" s="6"/>
      <c r="D85" s="6"/>
      <c r="E85" s="6"/>
      <c r="F85" s="6"/>
      <c r="G85" s="6"/>
      <c r="H85" s="6"/>
      <c r="I85" s="18"/>
      <c r="J85" s="6"/>
      <c r="K85" s="6"/>
      <c r="L85" s="9"/>
      <c r="M85" s="6"/>
      <c r="N85" s="6"/>
      <c r="O85" s="9"/>
      <c r="P85" s="6"/>
      <c r="Q85" s="6"/>
      <c r="R85" s="18"/>
      <c r="S85" s="9"/>
    </row>
    <row r="86" spans="1:19" ht="14.25" customHeight="1">
      <c r="A86" s="29"/>
      <c r="B86" s="6"/>
      <c r="C86" s="6"/>
      <c r="D86" s="6"/>
      <c r="E86" s="6"/>
      <c r="F86" s="6"/>
      <c r="G86" s="6"/>
      <c r="H86" s="6"/>
      <c r="I86" s="18"/>
      <c r="J86" s="6"/>
      <c r="K86" s="6"/>
      <c r="L86" s="9"/>
      <c r="M86" s="6"/>
      <c r="N86" s="6"/>
      <c r="O86" s="9"/>
      <c r="P86" s="6"/>
      <c r="Q86" s="6"/>
      <c r="R86" s="18"/>
      <c r="S86" s="9"/>
    </row>
    <row r="87" spans="1:19" ht="14.25" customHeight="1">
      <c r="A87" s="29"/>
      <c r="B87" s="6"/>
      <c r="C87" s="6"/>
      <c r="D87" s="6"/>
      <c r="E87" s="6"/>
      <c r="F87" s="6"/>
      <c r="G87" s="6"/>
      <c r="H87" s="6"/>
      <c r="I87" s="18"/>
      <c r="J87" s="6"/>
      <c r="K87" s="6"/>
      <c r="L87" s="9"/>
      <c r="M87" s="6"/>
      <c r="N87" s="6"/>
      <c r="O87" s="9"/>
      <c r="P87" s="6"/>
      <c r="Q87" s="6"/>
      <c r="R87" s="18"/>
      <c r="S87" s="9"/>
    </row>
    <row r="88" spans="1:19" ht="14.25" customHeight="1">
      <c r="A88" s="29"/>
      <c r="B88" s="6"/>
      <c r="C88" s="6"/>
      <c r="D88" s="6"/>
      <c r="E88" s="6"/>
      <c r="F88" s="6"/>
      <c r="G88" s="6"/>
      <c r="H88" s="6"/>
      <c r="I88" s="18"/>
      <c r="J88" s="6"/>
      <c r="K88" s="6"/>
      <c r="L88" s="9"/>
      <c r="M88" s="6"/>
      <c r="N88" s="6"/>
      <c r="O88" s="9"/>
      <c r="P88" s="6"/>
      <c r="Q88" s="6"/>
      <c r="R88" s="18"/>
      <c r="S88" s="9"/>
    </row>
    <row r="89" spans="1:19" ht="14.25" customHeight="1">
      <c r="A89" s="29"/>
      <c r="B89" s="6"/>
      <c r="C89" s="6"/>
      <c r="D89" s="6"/>
      <c r="E89" s="6"/>
      <c r="F89" s="6"/>
      <c r="G89" s="6"/>
      <c r="H89" s="6"/>
      <c r="I89" s="18"/>
      <c r="J89" s="6"/>
      <c r="K89" s="6"/>
      <c r="L89" s="9"/>
      <c r="M89" s="6"/>
      <c r="N89" s="6"/>
      <c r="O89" s="9"/>
      <c r="P89" s="6"/>
      <c r="Q89" s="6"/>
      <c r="R89" s="18"/>
      <c r="S89" s="9"/>
    </row>
    <row r="90" spans="1:19" ht="14.25" customHeight="1">
      <c r="A90" s="29"/>
      <c r="B90" s="6"/>
      <c r="C90" s="6"/>
      <c r="D90" s="6"/>
      <c r="E90" s="6"/>
      <c r="F90" s="6"/>
      <c r="G90" s="6"/>
      <c r="H90" s="6"/>
      <c r="I90" s="18"/>
      <c r="J90" s="6"/>
      <c r="K90" s="6"/>
      <c r="L90" s="9"/>
      <c r="M90" s="6"/>
      <c r="N90" s="6"/>
      <c r="O90" s="9"/>
      <c r="P90" s="6"/>
      <c r="Q90" s="6"/>
      <c r="R90" s="18"/>
      <c r="S90" s="9"/>
    </row>
    <row r="91" spans="1:19" ht="14.25" customHeight="1">
      <c r="A91" s="29"/>
      <c r="B91" s="6"/>
      <c r="C91" s="6"/>
      <c r="D91" s="6"/>
      <c r="E91" s="6"/>
      <c r="F91" s="6"/>
      <c r="G91" s="6"/>
      <c r="H91" s="6"/>
      <c r="I91" s="18"/>
      <c r="J91" s="6"/>
      <c r="K91" s="6"/>
      <c r="L91" s="9"/>
      <c r="M91" s="6"/>
      <c r="N91" s="6"/>
      <c r="O91" s="9"/>
      <c r="P91" s="6"/>
      <c r="Q91" s="6"/>
      <c r="R91" s="18"/>
      <c r="S91" s="9"/>
    </row>
    <row r="92" spans="1:19" ht="14.25" customHeight="1">
      <c r="A92" s="29"/>
      <c r="B92" s="6"/>
      <c r="C92" s="6"/>
      <c r="D92" s="6"/>
      <c r="E92" s="6"/>
      <c r="F92" s="6"/>
      <c r="G92" s="6"/>
      <c r="H92" s="6"/>
      <c r="I92" s="18"/>
      <c r="J92" s="6"/>
      <c r="K92" s="6"/>
      <c r="L92" s="9"/>
      <c r="M92" s="6"/>
      <c r="N92" s="6"/>
      <c r="O92" s="9"/>
      <c r="P92" s="6"/>
      <c r="Q92" s="6"/>
      <c r="R92" s="18"/>
      <c r="S92" s="9"/>
    </row>
    <row r="93" spans="1:19" ht="14.25" customHeight="1">
      <c r="A93" s="29"/>
      <c r="B93" s="6"/>
      <c r="C93" s="6"/>
      <c r="D93" s="6"/>
      <c r="E93" s="6"/>
      <c r="F93" s="6"/>
      <c r="G93" s="6"/>
      <c r="H93" s="6"/>
      <c r="I93" s="18"/>
      <c r="J93" s="6"/>
      <c r="K93" s="6"/>
      <c r="L93" s="9"/>
      <c r="M93" s="6"/>
      <c r="N93" s="6"/>
      <c r="O93" s="9"/>
      <c r="P93" s="6"/>
      <c r="Q93" s="6"/>
      <c r="R93" s="18"/>
      <c r="S93" s="9"/>
    </row>
    <row r="94" spans="1:19" ht="14.25" customHeight="1">
      <c r="A94" s="29"/>
      <c r="B94" s="6"/>
      <c r="C94" s="6"/>
      <c r="D94" s="6"/>
      <c r="E94" s="6"/>
      <c r="F94" s="6"/>
      <c r="G94" s="6"/>
      <c r="H94" s="6"/>
      <c r="I94" s="18"/>
      <c r="J94" s="6"/>
      <c r="K94" s="6"/>
      <c r="L94" s="9"/>
      <c r="M94" s="6"/>
      <c r="N94" s="6"/>
      <c r="O94" s="9"/>
      <c r="P94" s="6"/>
      <c r="Q94" s="6"/>
      <c r="R94" s="18"/>
      <c r="S94" s="9"/>
    </row>
    <row r="95" spans="1:19" ht="14.25" customHeight="1">
      <c r="A95" s="29"/>
      <c r="B95" s="6"/>
      <c r="C95" s="6"/>
      <c r="D95" s="6"/>
      <c r="E95" s="6"/>
      <c r="F95" s="6"/>
      <c r="G95" s="6"/>
      <c r="H95" s="6"/>
      <c r="I95" s="18"/>
      <c r="J95" s="6"/>
      <c r="K95" s="6"/>
      <c r="L95" s="9"/>
      <c r="M95" s="6"/>
      <c r="N95" s="6"/>
      <c r="O95" s="9"/>
      <c r="P95" s="6"/>
      <c r="Q95" s="6"/>
      <c r="R95" s="18"/>
      <c r="S95" s="9"/>
    </row>
    <row r="96" spans="1:19" ht="14.25" customHeight="1">
      <c r="A96" s="29"/>
      <c r="B96" s="6"/>
      <c r="C96" s="6"/>
      <c r="D96" s="6"/>
      <c r="E96" s="6"/>
      <c r="F96" s="6"/>
      <c r="G96" s="6"/>
      <c r="H96" s="6"/>
      <c r="I96" s="18"/>
      <c r="J96" s="6"/>
      <c r="K96" s="6"/>
      <c r="L96" s="9"/>
      <c r="M96" s="6"/>
      <c r="N96" s="6"/>
      <c r="O96" s="9"/>
      <c r="P96" s="6"/>
      <c r="Q96" s="6"/>
      <c r="R96" s="18"/>
      <c r="S96" s="9"/>
    </row>
    <row r="97" spans="1:19" ht="14.25" customHeight="1">
      <c r="A97" s="29"/>
      <c r="B97" s="6"/>
      <c r="C97" s="6"/>
      <c r="D97" s="6"/>
      <c r="E97" s="6"/>
      <c r="F97" s="6"/>
      <c r="G97" s="6"/>
      <c r="H97" s="6"/>
      <c r="I97" s="18"/>
      <c r="J97" s="6"/>
      <c r="K97" s="6"/>
      <c r="L97" s="9"/>
      <c r="M97" s="6"/>
      <c r="N97" s="6"/>
      <c r="O97" s="9"/>
      <c r="P97" s="6"/>
      <c r="Q97" s="6"/>
      <c r="R97" s="18"/>
      <c r="S97" s="9"/>
    </row>
    <row r="98" spans="1:19" ht="14.25" customHeight="1">
      <c r="A98" s="29"/>
      <c r="B98" s="6"/>
      <c r="C98" s="6"/>
      <c r="D98" s="6"/>
      <c r="E98" s="6"/>
      <c r="F98" s="6"/>
      <c r="G98" s="6"/>
      <c r="H98" s="6"/>
      <c r="I98" s="18"/>
      <c r="J98" s="6"/>
      <c r="K98" s="6"/>
      <c r="L98" s="9"/>
      <c r="M98" s="6"/>
      <c r="N98" s="6"/>
      <c r="O98" s="9"/>
      <c r="P98" s="6"/>
      <c r="Q98" s="6"/>
      <c r="R98" s="18"/>
      <c r="S98" s="9"/>
    </row>
    <row r="99" spans="1:19" ht="14.25" customHeight="1">
      <c r="A99" s="29"/>
      <c r="B99" s="6"/>
      <c r="C99" s="6"/>
      <c r="D99" s="6"/>
      <c r="E99" s="6"/>
      <c r="F99" s="6"/>
      <c r="G99" s="6"/>
      <c r="H99" s="6"/>
      <c r="I99" s="18"/>
      <c r="J99" s="6"/>
      <c r="K99" s="6"/>
      <c r="L99" s="9"/>
      <c r="M99" s="6"/>
      <c r="N99" s="6"/>
      <c r="O99" s="9"/>
      <c r="P99" s="6"/>
      <c r="Q99" s="6"/>
      <c r="R99" s="18"/>
      <c r="S99" s="9"/>
    </row>
    <row r="100" spans="1:19" ht="14.25" customHeight="1">
      <c r="A100" s="29"/>
      <c r="B100" s="6"/>
      <c r="C100" s="6"/>
      <c r="D100" s="6"/>
      <c r="E100" s="6"/>
      <c r="F100" s="6"/>
      <c r="G100" s="6"/>
      <c r="H100" s="6"/>
      <c r="I100" s="18"/>
      <c r="J100" s="6"/>
      <c r="K100" s="6"/>
      <c r="L100" s="9"/>
      <c r="M100" s="6"/>
      <c r="N100" s="6"/>
      <c r="O100" s="9"/>
      <c r="P100" s="6"/>
      <c r="Q100" s="6"/>
      <c r="R100" s="18"/>
      <c r="S100" s="9"/>
    </row>
    <row r="101" spans="1:19" ht="14.25" customHeight="1">
      <c r="A101" s="29"/>
      <c r="B101" s="6"/>
      <c r="C101" s="6"/>
      <c r="D101" s="6"/>
      <c r="E101" s="6"/>
      <c r="F101" s="6"/>
      <c r="G101" s="6"/>
      <c r="H101" s="6"/>
      <c r="I101" s="18"/>
      <c r="J101" s="6"/>
      <c r="K101" s="6"/>
      <c r="L101" s="9"/>
      <c r="M101" s="6"/>
      <c r="N101" s="6"/>
      <c r="O101" s="9"/>
      <c r="P101" s="6"/>
      <c r="Q101" s="6"/>
      <c r="R101" s="18"/>
      <c r="S101" s="9"/>
    </row>
    <row r="102" spans="1:19" ht="14.25" customHeight="1">
      <c r="A102" s="29"/>
      <c r="B102" s="6"/>
      <c r="C102" s="6"/>
      <c r="D102" s="6"/>
      <c r="E102" s="6"/>
      <c r="F102" s="6"/>
      <c r="G102" s="6"/>
      <c r="H102" s="6"/>
      <c r="I102" s="18"/>
      <c r="J102" s="6"/>
      <c r="K102" s="6"/>
      <c r="L102" s="9"/>
      <c r="M102" s="6"/>
      <c r="N102" s="6"/>
      <c r="O102" s="9"/>
      <c r="P102" s="6"/>
      <c r="Q102" s="6"/>
      <c r="R102" s="18"/>
      <c r="S102" s="9"/>
    </row>
    <row r="103" spans="1:19" ht="14.25" customHeight="1">
      <c r="A103" s="29"/>
      <c r="B103" s="6"/>
      <c r="C103" s="6"/>
      <c r="D103" s="6"/>
      <c r="E103" s="6"/>
      <c r="F103" s="6"/>
      <c r="G103" s="6"/>
      <c r="H103" s="6"/>
      <c r="I103" s="18"/>
      <c r="J103" s="6"/>
      <c r="K103" s="6"/>
      <c r="L103" s="9"/>
      <c r="M103" s="6"/>
      <c r="N103" s="6"/>
      <c r="O103" s="9"/>
      <c r="P103" s="6"/>
      <c r="Q103" s="6"/>
      <c r="R103" s="18"/>
      <c r="S103" s="9"/>
    </row>
    <row r="104" spans="1:19" ht="14.25" customHeight="1">
      <c r="A104" s="29"/>
      <c r="B104" s="6"/>
      <c r="C104" s="6"/>
      <c r="D104" s="6"/>
      <c r="E104" s="6"/>
      <c r="F104" s="6"/>
      <c r="G104" s="6"/>
      <c r="H104" s="6"/>
      <c r="I104" s="18"/>
      <c r="J104" s="6"/>
      <c r="K104" s="6"/>
      <c r="L104" s="9"/>
      <c r="M104" s="6"/>
      <c r="N104" s="6"/>
      <c r="O104" s="9"/>
      <c r="P104" s="6"/>
      <c r="Q104" s="6"/>
      <c r="R104" s="18"/>
      <c r="S104" s="9"/>
    </row>
    <row r="105" spans="1:19" ht="14.25" customHeight="1">
      <c r="A105" s="29"/>
      <c r="B105" s="6"/>
      <c r="C105" s="6"/>
      <c r="D105" s="6"/>
      <c r="E105" s="6"/>
      <c r="F105" s="6"/>
      <c r="G105" s="6"/>
      <c r="H105" s="6"/>
      <c r="I105" s="18"/>
      <c r="J105" s="6"/>
      <c r="K105" s="6"/>
      <c r="L105" s="9"/>
      <c r="M105" s="6"/>
      <c r="N105" s="6"/>
      <c r="O105" s="9"/>
      <c r="P105" s="6"/>
      <c r="Q105" s="6"/>
      <c r="R105" s="18"/>
      <c r="S105" s="9"/>
    </row>
    <row r="106" spans="1:19" ht="14.25" customHeight="1">
      <c r="A106" s="29"/>
      <c r="B106" s="6"/>
      <c r="C106" s="6"/>
      <c r="D106" s="6"/>
      <c r="E106" s="6"/>
      <c r="F106" s="6"/>
      <c r="G106" s="6"/>
      <c r="H106" s="6"/>
      <c r="I106" s="18"/>
      <c r="J106" s="6"/>
      <c r="K106" s="6"/>
      <c r="L106" s="9"/>
      <c r="M106" s="6"/>
      <c r="N106" s="6"/>
      <c r="O106" s="9"/>
      <c r="P106" s="6"/>
      <c r="Q106" s="6"/>
      <c r="R106" s="18"/>
      <c r="S106" s="9"/>
    </row>
    <row r="107" spans="1:19" ht="14.25" customHeight="1">
      <c r="A107" s="29"/>
      <c r="B107" s="6"/>
      <c r="C107" s="6"/>
      <c r="D107" s="6"/>
      <c r="E107" s="6"/>
      <c r="F107" s="6"/>
      <c r="G107" s="6"/>
      <c r="H107" s="6"/>
      <c r="I107" s="18"/>
      <c r="J107" s="6"/>
      <c r="K107" s="6"/>
      <c r="L107" s="9"/>
      <c r="M107" s="6"/>
      <c r="N107" s="6"/>
      <c r="O107" s="9"/>
      <c r="P107" s="6"/>
      <c r="Q107" s="6"/>
      <c r="R107" s="18"/>
      <c r="S107" s="9"/>
    </row>
    <row r="108" spans="1:19" ht="14.25" customHeight="1">
      <c r="A108" s="29"/>
      <c r="B108" s="6"/>
      <c r="C108" s="6"/>
      <c r="D108" s="6"/>
      <c r="E108" s="6"/>
      <c r="F108" s="6"/>
      <c r="G108" s="6"/>
      <c r="H108" s="6"/>
      <c r="I108" s="18"/>
      <c r="J108" s="6"/>
      <c r="K108" s="6"/>
      <c r="L108" s="9"/>
      <c r="M108" s="6"/>
      <c r="N108" s="6"/>
      <c r="O108" s="9"/>
      <c r="P108" s="6"/>
      <c r="Q108" s="6"/>
      <c r="R108" s="18"/>
      <c r="S108" s="9"/>
    </row>
    <row r="109" spans="1:19" ht="14.25" customHeight="1">
      <c r="A109" s="29"/>
      <c r="B109" s="6"/>
      <c r="C109" s="6"/>
      <c r="D109" s="6"/>
      <c r="E109" s="6"/>
      <c r="F109" s="6"/>
      <c r="G109" s="6"/>
      <c r="H109" s="6"/>
      <c r="I109" s="18"/>
      <c r="J109" s="6"/>
      <c r="K109" s="6"/>
      <c r="L109" s="9"/>
      <c r="M109" s="6"/>
      <c r="N109" s="6"/>
      <c r="O109" s="9"/>
      <c r="P109" s="6"/>
      <c r="Q109" s="6"/>
      <c r="R109" s="18"/>
      <c r="S109" s="9"/>
    </row>
    <row r="110" spans="1:19" ht="14.25" customHeight="1">
      <c r="A110" s="29"/>
      <c r="B110" s="6"/>
      <c r="C110" s="6"/>
      <c r="D110" s="6"/>
      <c r="E110" s="6"/>
      <c r="F110" s="6"/>
      <c r="G110" s="6"/>
      <c r="H110" s="6"/>
      <c r="I110" s="18"/>
      <c r="J110" s="6"/>
      <c r="K110" s="6"/>
      <c r="L110" s="9"/>
      <c r="M110" s="6"/>
      <c r="N110" s="6"/>
      <c r="O110" s="9"/>
      <c r="P110" s="6"/>
      <c r="Q110" s="6"/>
      <c r="R110" s="18"/>
      <c r="S110" s="9"/>
    </row>
    <row r="111" spans="1:19" ht="14.25" customHeight="1">
      <c r="A111" s="29"/>
      <c r="B111" s="6"/>
      <c r="C111" s="6"/>
      <c r="D111" s="6"/>
      <c r="E111" s="6"/>
      <c r="F111" s="6"/>
      <c r="G111" s="6"/>
      <c r="H111" s="6"/>
      <c r="I111" s="18"/>
      <c r="J111" s="6"/>
      <c r="K111" s="6"/>
      <c r="L111" s="9"/>
      <c r="M111" s="6"/>
      <c r="N111" s="6"/>
      <c r="O111" s="9"/>
      <c r="P111" s="6"/>
      <c r="Q111" s="6"/>
      <c r="R111" s="18"/>
      <c r="S111" s="9"/>
    </row>
    <row r="112" spans="1:19" ht="14.25" customHeight="1">
      <c r="A112" s="29"/>
      <c r="B112" s="6"/>
      <c r="C112" s="6"/>
      <c r="D112" s="6"/>
      <c r="E112" s="6"/>
      <c r="F112" s="6"/>
      <c r="G112" s="6"/>
      <c r="H112" s="6"/>
      <c r="I112" s="18"/>
      <c r="J112" s="6"/>
      <c r="K112" s="6"/>
      <c r="L112" s="9"/>
      <c r="M112" s="6"/>
      <c r="N112" s="6"/>
      <c r="O112" s="9"/>
      <c r="P112" s="6"/>
      <c r="Q112" s="6"/>
      <c r="R112" s="18"/>
      <c r="S112" s="9"/>
    </row>
    <row r="113" spans="1:19" ht="14.25" customHeight="1">
      <c r="A113" s="29"/>
      <c r="B113" s="6"/>
      <c r="C113" s="6"/>
      <c r="D113" s="6"/>
      <c r="E113" s="6"/>
      <c r="F113" s="6"/>
      <c r="G113" s="6"/>
      <c r="H113" s="6"/>
      <c r="I113" s="18"/>
      <c r="J113" s="6"/>
      <c r="K113" s="6"/>
      <c r="L113" s="9"/>
      <c r="M113" s="6"/>
      <c r="N113" s="6"/>
      <c r="O113" s="9"/>
      <c r="P113" s="6"/>
      <c r="Q113" s="6"/>
      <c r="R113" s="18"/>
      <c r="S113" s="9"/>
    </row>
    <row r="114" spans="1:19" ht="14.25" customHeight="1">
      <c r="A114" s="29"/>
      <c r="B114" s="6"/>
      <c r="C114" s="6"/>
      <c r="D114" s="6"/>
      <c r="E114" s="6"/>
      <c r="F114" s="6"/>
      <c r="G114" s="6"/>
      <c r="H114" s="6"/>
      <c r="I114" s="18"/>
      <c r="J114" s="6"/>
      <c r="K114" s="6"/>
      <c r="L114" s="9"/>
      <c r="M114" s="6"/>
      <c r="N114" s="6"/>
      <c r="O114" s="9"/>
      <c r="P114" s="6"/>
      <c r="Q114" s="6"/>
      <c r="R114" s="18"/>
      <c r="S114" s="9"/>
    </row>
    <row r="115" spans="1:19" ht="14.25" customHeight="1">
      <c r="A115" s="29"/>
      <c r="B115" s="6"/>
      <c r="C115" s="6"/>
      <c r="D115" s="6"/>
      <c r="E115" s="6"/>
      <c r="F115" s="6"/>
      <c r="G115" s="6"/>
      <c r="H115" s="6"/>
      <c r="I115" s="18"/>
      <c r="J115" s="6"/>
      <c r="K115" s="6"/>
      <c r="L115" s="9"/>
      <c r="M115" s="6"/>
      <c r="N115" s="6"/>
      <c r="O115" s="9"/>
      <c r="P115" s="6"/>
      <c r="Q115" s="6"/>
      <c r="R115" s="18"/>
      <c r="S115" s="9"/>
    </row>
    <row r="116" spans="1:19" ht="14.25" customHeight="1">
      <c r="A116" s="29"/>
      <c r="B116" s="6"/>
      <c r="C116" s="6"/>
      <c r="D116" s="6"/>
      <c r="E116" s="6"/>
      <c r="F116" s="6"/>
      <c r="G116" s="6"/>
      <c r="H116" s="6"/>
      <c r="I116" s="18"/>
      <c r="J116" s="6"/>
      <c r="K116" s="6"/>
      <c r="L116" s="9"/>
      <c r="M116" s="6"/>
      <c r="N116" s="6"/>
      <c r="O116" s="9"/>
      <c r="P116" s="6"/>
      <c r="Q116" s="6"/>
      <c r="R116" s="18"/>
      <c r="S116" s="9"/>
    </row>
    <row r="117" spans="1:19" ht="14.25" customHeight="1">
      <c r="A117" s="29"/>
      <c r="B117" s="6"/>
      <c r="C117" s="6"/>
      <c r="D117" s="6"/>
      <c r="E117" s="6"/>
      <c r="F117" s="6"/>
      <c r="G117" s="6"/>
      <c r="H117" s="6"/>
      <c r="I117" s="18"/>
      <c r="J117" s="6"/>
      <c r="K117" s="6"/>
      <c r="L117" s="9"/>
      <c r="M117" s="6"/>
      <c r="N117" s="6"/>
      <c r="O117" s="9"/>
      <c r="P117" s="6"/>
      <c r="Q117" s="6"/>
      <c r="R117" s="18"/>
      <c r="S117" s="9"/>
    </row>
    <row r="118" spans="1:19" ht="14.25" customHeight="1">
      <c r="A118" s="29"/>
      <c r="B118" s="6"/>
      <c r="C118" s="6"/>
      <c r="D118" s="6"/>
      <c r="E118" s="6"/>
      <c r="F118" s="6"/>
      <c r="G118" s="6"/>
      <c r="H118" s="6"/>
      <c r="I118" s="18"/>
      <c r="J118" s="6"/>
      <c r="K118" s="6"/>
      <c r="L118" s="9"/>
      <c r="M118" s="6"/>
      <c r="N118" s="6"/>
      <c r="O118" s="9"/>
      <c r="P118" s="6"/>
      <c r="Q118" s="6"/>
      <c r="R118" s="18"/>
      <c r="S118" s="9"/>
    </row>
    <row r="119" spans="1:19" ht="14.25" customHeight="1">
      <c r="A119" s="29"/>
      <c r="B119" s="6"/>
      <c r="C119" s="6"/>
      <c r="D119" s="6"/>
      <c r="E119" s="6"/>
      <c r="F119" s="6"/>
      <c r="G119" s="6"/>
      <c r="H119" s="6"/>
      <c r="I119" s="18"/>
      <c r="J119" s="6"/>
      <c r="K119" s="6"/>
      <c r="L119" s="9"/>
      <c r="M119" s="6"/>
      <c r="N119" s="6"/>
      <c r="O119" s="9"/>
      <c r="P119" s="6"/>
      <c r="Q119" s="6"/>
      <c r="R119" s="18"/>
      <c r="S119" s="9"/>
    </row>
    <row r="120" spans="1:19" ht="14.25" customHeight="1">
      <c r="A120" s="29"/>
      <c r="B120" s="6"/>
      <c r="C120" s="6"/>
      <c r="D120" s="6"/>
      <c r="E120" s="6"/>
      <c r="F120" s="6"/>
      <c r="G120" s="6"/>
      <c r="H120" s="6"/>
      <c r="I120" s="18"/>
      <c r="J120" s="6"/>
      <c r="K120" s="6"/>
      <c r="L120" s="9"/>
      <c r="M120" s="6"/>
      <c r="N120" s="6"/>
      <c r="O120" s="9"/>
      <c r="P120" s="6"/>
      <c r="Q120" s="6"/>
      <c r="R120" s="18"/>
      <c r="S120" s="9"/>
    </row>
    <row r="121" spans="1:19" ht="14.25" customHeight="1">
      <c r="A121" s="29"/>
      <c r="B121" s="6"/>
      <c r="C121" s="6"/>
      <c r="D121" s="6"/>
      <c r="E121" s="6"/>
      <c r="F121" s="6"/>
      <c r="G121" s="6"/>
      <c r="H121" s="6"/>
      <c r="I121" s="18"/>
      <c r="J121" s="6"/>
      <c r="K121" s="6"/>
      <c r="L121" s="9"/>
      <c r="M121" s="6"/>
      <c r="N121" s="6"/>
      <c r="O121" s="9"/>
      <c r="P121" s="6"/>
      <c r="Q121" s="6"/>
      <c r="R121" s="18"/>
      <c r="S121" s="9"/>
    </row>
    <row r="122" spans="1:19" ht="14.25" customHeight="1">
      <c r="A122" s="29"/>
      <c r="B122" s="6"/>
      <c r="C122" s="6"/>
      <c r="D122" s="6"/>
      <c r="E122" s="6"/>
      <c r="F122" s="6"/>
      <c r="G122" s="6"/>
      <c r="H122" s="6"/>
      <c r="I122" s="18"/>
      <c r="J122" s="6"/>
      <c r="K122" s="6"/>
      <c r="L122" s="9"/>
      <c r="M122" s="6"/>
      <c r="N122" s="6"/>
      <c r="O122" s="9"/>
      <c r="P122" s="6"/>
      <c r="Q122" s="6"/>
      <c r="R122" s="18"/>
      <c r="S122" s="9"/>
    </row>
    <row r="123" spans="1:19" ht="14.25" customHeight="1">
      <c r="A123" s="29"/>
      <c r="B123" s="6"/>
      <c r="C123" s="6"/>
      <c r="D123" s="6"/>
      <c r="E123" s="6"/>
      <c r="F123" s="6"/>
      <c r="G123" s="6"/>
      <c r="H123" s="6"/>
      <c r="I123" s="18"/>
      <c r="J123" s="6"/>
      <c r="K123" s="6"/>
      <c r="L123" s="9"/>
      <c r="M123" s="6"/>
      <c r="N123" s="6"/>
      <c r="O123" s="9"/>
      <c r="P123" s="6"/>
      <c r="Q123" s="6"/>
      <c r="R123" s="18"/>
      <c r="S123" s="9"/>
    </row>
    <row r="124" spans="1:19" ht="14.25" customHeight="1">
      <c r="A124" s="29"/>
      <c r="B124" s="6"/>
      <c r="C124" s="6"/>
      <c r="D124" s="6"/>
      <c r="E124" s="6"/>
      <c r="F124" s="6"/>
      <c r="G124" s="6"/>
      <c r="H124" s="6"/>
      <c r="I124" s="18"/>
      <c r="J124" s="6"/>
      <c r="K124" s="6"/>
      <c r="L124" s="9"/>
      <c r="M124" s="6"/>
      <c r="N124" s="6"/>
      <c r="O124" s="9"/>
      <c r="P124" s="6"/>
      <c r="Q124" s="6"/>
      <c r="R124" s="18"/>
      <c r="S124" s="9"/>
    </row>
    <row r="125" spans="1:19" ht="14.25" customHeight="1">
      <c r="A125" s="29"/>
      <c r="B125" s="6"/>
      <c r="C125" s="6"/>
      <c r="D125" s="6"/>
      <c r="E125" s="6"/>
      <c r="F125" s="6"/>
      <c r="G125" s="6"/>
      <c r="H125" s="6"/>
      <c r="I125" s="18"/>
      <c r="J125" s="6"/>
      <c r="K125" s="6"/>
      <c r="L125" s="9"/>
      <c r="M125" s="6"/>
      <c r="N125" s="6"/>
      <c r="O125" s="9"/>
      <c r="P125" s="6"/>
      <c r="Q125" s="6"/>
      <c r="R125" s="18"/>
      <c r="S125" s="9"/>
    </row>
    <row r="126" spans="1:19" ht="14.25" customHeight="1">
      <c r="A126" s="29"/>
      <c r="B126" s="6"/>
      <c r="C126" s="6"/>
      <c r="D126" s="6"/>
      <c r="E126" s="6"/>
      <c r="F126" s="6"/>
      <c r="G126" s="6"/>
      <c r="H126" s="6"/>
      <c r="I126" s="18"/>
      <c r="J126" s="6"/>
      <c r="K126" s="6"/>
      <c r="L126" s="9"/>
      <c r="M126" s="6"/>
      <c r="N126" s="6"/>
      <c r="O126" s="9"/>
      <c r="P126" s="6"/>
      <c r="Q126" s="6"/>
      <c r="R126" s="18"/>
      <c r="S126" s="9"/>
    </row>
    <row r="127" spans="1:19" ht="14.25" customHeight="1">
      <c r="A127" s="29"/>
      <c r="B127" s="6"/>
      <c r="C127" s="6"/>
      <c r="D127" s="6"/>
      <c r="E127" s="6"/>
      <c r="F127" s="6"/>
      <c r="G127" s="6"/>
      <c r="H127" s="6"/>
      <c r="I127" s="18"/>
      <c r="J127" s="6"/>
      <c r="K127" s="6"/>
      <c r="L127" s="9"/>
      <c r="M127" s="6"/>
      <c r="N127" s="6"/>
      <c r="O127" s="9"/>
      <c r="P127" s="6"/>
      <c r="Q127" s="6"/>
      <c r="R127" s="18"/>
      <c r="S127" s="9"/>
    </row>
    <row r="128" spans="1:19" ht="14.25" customHeight="1">
      <c r="A128" s="29"/>
      <c r="B128" s="6"/>
      <c r="C128" s="6"/>
      <c r="D128" s="6"/>
      <c r="E128" s="6"/>
      <c r="F128" s="6"/>
      <c r="G128" s="6"/>
      <c r="H128" s="6"/>
      <c r="I128" s="18"/>
      <c r="J128" s="6"/>
      <c r="K128" s="6"/>
      <c r="L128" s="9"/>
      <c r="M128" s="6"/>
      <c r="N128" s="6"/>
      <c r="O128" s="9"/>
      <c r="P128" s="6"/>
      <c r="Q128" s="6"/>
      <c r="R128" s="18"/>
      <c r="S128" s="9"/>
    </row>
    <row r="129" spans="1:19" ht="14.25" customHeight="1">
      <c r="A129" s="29"/>
      <c r="B129" s="6"/>
      <c r="C129" s="6"/>
      <c r="D129" s="6"/>
      <c r="E129" s="6"/>
      <c r="F129" s="6"/>
      <c r="G129" s="6"/>
      <c r="H129" s="6"/>
      <c r="I129" s="18"/>
      <c r="J129" s="6"/>
      <c r="K129" s="6"/>
      <c r="L129" s="9"/>
      <c r="M129" s="6"/>
      <c r="N129" s="6"/>
      <c r="O129" s="9"/>
      <c r="P129" s="6"/>
      <c r="Q129" s="6"/>
      <c r="R129" s="18"/>
      <c r="S129" s="9"/>
    </row>
    <row r="130" spans="1:19" ht="14.25" customHeight="1">
      <c r="A130" s="29"/>
      <c r="B130" s="6"/>
      <c r="C130" s="6"/>
      <c r="D130" s="6"/>
      <c r="E130" s="6"/>
      <c r="F130" s="6"/>
      <c r="G130" s="6"/>
      <c r="H130" s="6"/>
      <c r="I130" s="18"/>
      <c r="J130" s="6"/>
      <c r="K130" s="6"/>
      <c r="L130" s="9"/>
      <c r="M130" s="6"/>
      <c r="N130" s="6"/>
      <c r="O130" s="9"/>
      <c r="P130" s="6"/>
      <c r="Q130" s="6"/>
      <c r="R130" s="18"/>
      <c r="S130" s="9"/>
    </row>
    <row r="131" spans="1:19" ht="14.25" customHeight="1">
      <c r="A131" s="29"/>
      <c r="B131" s="6"/>
      <c r="C131" s="6"/>
      <c r="D131" s="6"/>
      <c r="E131" s="6"/>
      <c r="F131" s="6"/>
      <c r="G131" s="6"/>
      <c r="H131" s="6"/>
      <c r="I131" s="18"/>
      <c r="J131" s="6"/>
      <c r="K131" s="6"/>
      <c r="L131" s="9"/>
      <c r="M131" s="6"/>
      <c r="N131" s="6"/>
      <c r="O131" s="9"/>
      <c r="P131" s="6"/>
      <c r="Q131" s="6"/>
      <c r="R131" s="18"/>
      <c r="S131" s="9"/>
    </row>
    <row r="132" spans="1:19" ht="14.25" customHeight="1">
      <c r="A132" s="29"/>
      <c r="B132" s="6"/>
      <c r="C132" s="6"/>
      <c r="D132" s="6"/>
      <c r="E132" s="6"/>
      <c r="F132" s="6"/>
      <c r="G132" s="6"/>
      <c r="H132" s="6"/>
      <c r="I132" s="18"/>
      <c r="J132" s="6"/>
      <c r="K132" s="6"/>
      <c r="L132" s="9"/>
      <c r="M132" s="6"/>
      <c r="N132" s="6"/>
      <c r="O132" s="9"/>
      <c r="P132" s="6"/>
      <c r="Q132" s="6"/>
      <c r="R132" s="18"/>
      <c r="S132" s="9"/>
    </row>
    <row r="133" spans="1:19" ht="14.25" customHeight="1">
      <c r="A133" s="29"/>
      <c r="B133" s="6"/>
      <c r="C133" s="6"/>
      <c r="D133" s="6"/>
      <c r="E133" s="6"/>
      <c r="F133" s="6"/>
      <c r="G133" s="6"/>
      <c r="H133" s="6"/>
      <c r="I133" s="18"/>
      <c r="J133" s="6"/>
      <c r="K133" s="6"/>
      <c r="L133" s="9"/>
      <c r="M133" s="6"/>
      <c r="N133" s="6"/>
      <c r="O133" s="9"/>
      <c r="P133" s="6"/>
      <c r="Q133" s="6"/>
      <c r="R133" s="18"/>
      <c r="S133" s="9"/>
    </row>
    <row r="134" spans="1:19" ht="14.25" customHeight="1">
      <c r="A134" s="29"/>
      <c r="B134" s="6"/>
      <c r="C134" s="6"/>
      <c r="D134" s="6"/>
      <c r="E134" s="6"/>
      <c r="F134" s="6"/>
      <c r="G134" s="6"/>
      <c r="H134" s="6"/>
      <c r="I134" s="18"/>
      <c r="J134" s="6"/>
      <c r="K134" s="6"/>
      <c r="L134" s="9"/>
      <c r="M134" s="6"/>
      <c r="N134" s="6"/>
      <c r="O134" s="9"/>
      <c r="P134" s="6"/>
      <c r="Q134" s="6"/>
      <c r="R134" s="18"/>
      <c r="S134" s="9"/>
    </row>
    <row r="135" spans="1:19" ht="14.25" customHeight="1">
      <c r="A135" s="29"/>
      <c r="B135" s="6"/>
      <c r="C135" s="6"/>
      <c r="D135" s="6"/>
      <c r="E135" s="6"/>
      <c r="F135" s="6"/>
      <c r="G135" s="6"/>
      <c r="H135" s="6"/>
      <c r="I135" s="18"/>
      <c r="J135" s="6"/>
      <c r="K135" s="6"/>
      <c r="L135" s="9"/>
      <c r="M135" s="6"/>
      <c r="N135" s="6"/>
      <c r="O135" s="9"/>
      <c r="P135" s="6"/>
      <c r="Q135" s="6"/>
      <c r="R135" s="18"/>
      <c r="S135" s="9"/>
    </row>
    <row r="136" spans="1:19" ht="14.25" customHeight="1">
      <c r="A136" s="29"/>
      <c r="B136" s="6"/>
      <c r="C136" s="6"/>
      <c r="D136" s="6"/>
      <c r="E136" s="6"/>
      <c r="F136" s="6"/>
      <c r="G136" s="6"/>
      <c r="H136" s="6"/>
      <c r="I136" s="18"/>
      <c r="J136" s="6"/>
      <c r="K136" s="6"/>
      <c r="L136" s="9"/>
      <c r="M136" s="6"/>
      <c r="N136" s="6"/>
      <c r="O136" s="9"/>
      <c r="P136" s="6"/>
      <c r="Q136" s="6"/>
      <c r="R136" s="18"/>
      <c r="S136" s="9"/>
    </row>
    <row r="137" spans="1:19" ht="14.25" customHeight="1">
      <c r="A137" s="29"/>
      <c r="B137" s="6"/>
      <c r="C137" s="6"/>
      <c r="D137" s="6"/>
      <c r="E137" s="6"/>
      <c r="F137" s="6"/>
      <c r="G137" s="6"/>
      <c r="H137" s="6"/>
      <c r="I137" s="18"/>
      <c r="J137" s="6"/>
      <c r="K137" s="6"/>
      <c r="L137" s="9"/>
      <c r="M137" s="6"/>
      <c r="N137" s="6"/>
      <c r="O137" s="9"/>
      <c r="P137" s="6"/>
      <c r="Q137" s="6"/>
      <c r="R137" s="18"/>
      <c r="S137" s="9"/>
    </row>
    <row r="138" spans="1:19" ht="14.25" customHeight="1">
      <c r="A138" s="29"/>
      <c r="B138" s="6"/>
      <c r="C138" s="6"/>
      <c r="D138" s="6"/>
      <c r="E138" s="6"/>
      <c r="F138" s="6"/>
      <c r="G138" s="6"/>
      <c r="H138" s="6"/>
      <c r="I138" s="18"/>
      <c r="J138" s="6"/>
      <c r="K138" s="6"/>
      <c r="L138" s="9"/>
      <c r="M138" s="6"/>
      <c r="N138" s="6"/>
      <c r="O138" s="9"/>
      <c r="P138" s="6"/>
      <c r="Q138" s="6"/>
      <c r="R138" s="18"/>
      <c r="S138" s="9"/>
    </row>
    <row r="139" spans="1:19" ht="14.25" customHeight="1">
      <c r="A139" s="29"/>
      <c r="B139" s="6"/>
      <c r="C139" s="6"/>
      <c r="D139" s="6"/>
      <c r="E139" s="6"/>
      <c r="F139" s="6"/>
      <c r="G139" s="6"/>
      <c r="H139" s="6"/>
      <c r="I139" s="18"/>
      <c r="J139" s="6"/>
      <c r="K139" s="6"/>
      <c r="L139" s="9"/>
      <c r="M139" s="6"/>
      <c r="N139" s="6"/>
      <c r="O139" s="9"/>
      <c r="P139" s="6"/>
      <c r="Q139" s="6"/>
      <c r="R139" s="18"/>
      <c r="S139" s="9"/>
    </row>
    <row r="140" spans="1:19" ht="14.25" customHeight="1">
      <c r="A140" s="29"/>
      <c r="B140" s="6"/>
      <c r="C140" s="6"/>
      <c r="D140" s="6"/>
      <c r="E140" s="6"/>
      <c r="F140" s="6"/>
      <c r="G140" s="6"/>
      <c r="H140" s="6"/>
      <c r="I140" s="18"/>
      <c r="J140" s="6"/>
      <c r="K140" s="6"/>
      <c r="L140" s="9"/>
      <c r="M140" s="6"/>
      <c r="N140" s="6"/>
      <c r="O140" s="9"/>
      <c r="P140" s="6"/>
      <c r="Q140" s="6"/>
      <c r="R140" s="18"/>
      <c r="S140" s="9"/>
    </row>
    <row r="141" spans="1:19" ht="14.25" customHeight="1">
      <c r="A141" s="29"/>
      <c r="B141" s="6"/>
      <c r="C141" s="6"/>
      <c r="D141" s="6"/>
      <c r="E141" s="6"/>
      <c r="F141" s="6"/>
      <c r="G141" s="6"/>
      <c r="H141" s="6"/>
      <c r="I141" s="18"/>
      <c r="J141" s="6"/>
      <c r="K141" s="6"/>
      <c r="L141" s="9"/>
      <c r="M141" s="6"/>
      <c r="N141" s="6"/>
      <c r="O141" s="9"/>
      <c r="P141" s="6"/>
      <c r="Q141" s="6"/>
      <c r="R141" s="18"/>
      <c r="S141" s="9"/>
    </row>
    <row r="142" spans="1:19" ht="14.25" customHeight="1">
      <c r="A142" s="29"/>
      <c r="B142" s="6"/>
      <c r="C142" s="6"/>
      <c r="D142" s="6"/>
      <c r="E142" s="6"/>
      <c r="F142" s="6"/>
      <c r="G142" s="6"/>
      <c r="H142" s="6"/>
      <c r="I142" s="18"/>
      <c r="J142" s="6"/>
      <c r="K142" s="6"/>
      <c r="L142" s="9"/>
      <c r="M142" s="6"/>
      <c r="N142" s="6"/>
      <c r="O142" s="9"/>
      <c r="P142" s="6"/>
      <c r="Q142" s="6"/>
      <c r="R142" s="18"/>
      <c r="S142" s="9"/>
    </row>
    <row r="143" spans="1:19" ht="14.25" customHeight="1">
      <c r="A143" s="29"/>
      <c r="B143" s="6"/>
      <c r="C143" s="6"/>
      <c r="D143" s="6"/>
      <c r="E143" s="6"/>
      <c r="F143" s="6"/>
      <c r="G143" s="6"/>
      <c r="H143" s="6"/>
      <c r="I143" s="18"/>
      <c r="J143" s="6"/>
      <c r="K143" s="6"/>
      <c r="L143" s="9"/>
      <c r="M143" s="6"/>
      <c r="N143" s="6"/>
      <c r="O143" s="9"/>
      <c r="P143" s="6"/>
      <c r="Q143" s="6"/>
      <c r="R143" s="18"/>
      <c r="S143" s="9"/>
    </row>
    <row r="144" spans="1:19" ht="14.25" customHeight="1">
      <c r="A144" s="29"/>
      <c r="B144" s="6"/>
      <c r="C144" s="6"/>
      <c r="D144" s="6"/>
      <c r="E144" s="6"/>
      <c r="F144" s="6"/>
      <c r="G144" s="6"/>
      <c r="H144" s="6"/>
      <c r="I144" s="18"/>
      <c r="J144" s="6"/>
      <c r="K144" s="6"/>
      <c r="L144" s="9"/>
      <c r="M144" s="6"/>
      <c r="N144" s="6"/>
      <c r="O144" s="9"/>
      <c r="P144" s="6"/>
      <c r="Q144" s="6"/>
      <c r="R144" s="18"/>
      <c r="S144" s="9"/>
    </row>
    <row r="145" spans="1:19" ht="14.25" customHeight="1">
      <c r="A145" s="29"/>
      <c r="B145" s="6"/>
      <c r="C145" s="6"/>
      <c r="D145" s="6"/>
      <c r="E145" s="6"/>
      <c r="F145" s="6"/>
      <c r="G145" s="6"/>
      <c r="H145" s="6"/>
      <c r="I145" s="18"/>
      <c r="J145" s="6"/>
      <c r="K145" s="6"/>
      <c r="L145" s="9"/>
      <c r="M145" s="6"/>
      <c r="N145" s="6"/>
      <c r="O145" s="9"/>
      <c r="P145" s="6"/>
      <c r="Q145" s="6"/>
      <c r="R145" s="18"/>
      <c r="S145" s="9"/>
    </row>
    <row r="146" spans="1:19" ht="14.25" customHeight="1">
      <c r="A146" s="29"/>
      <c r="B146" s="6"/>
      <c r="C146" s="6"/>
      <c r="D146" s="6"/>
      <c r="E146" s="6"/>
      <c r="F146" s="6"/>
      <c r="G146" s="6"/>
      <c r="H146" s="6"/>
      <c r="I146" s="18"/>
      <c r="J146" s="6"/>
      <c r="K146" s="6"/>
      <c r="L146" s="9"/>
      <c r="M146" s="6"/>
      <c r="N146" s="6"/>
      <c r="O146" s="9"/>
      <c r="P146" s="6"/>
      <c r="Q146" s="6"/>
      <c r="R146" s="18"/>
      <c r="S146" s="9"/>
    </row>
    <row r="147" spans="1:19" ht="14.25" customHeight="1">
      <c r="A147" s="29"/>
      <c r="B147" s="6"/>
      <c r="C147" s="6"/>
      <c r="D147" s="6"/>
      <c r="E147" s="6"/>
      <c r="F147" s="6"/>
      <c r="G147" s="6"/>
      <c r="H147" s="6"/>
      <c r="I147" s="18"/>
      <c r="J147" s="6"/>
      <c r="K147" s="6"/>
      <c r="L147" s="9"/>
      <c r="M147" s="6"/>
      <c r="N147" s="6"/>
      <c r="O147" s="9"/>
      <c r="P147" s="6"/>
      <c r="Q147" s="6"/>
      <c r="R147" s="18"/>
      <c r="S147" s="9"/>
    </row>
    <row r="148" spans="1:19" ht="14.25" customHeight="1">
      <c r="A148" s="29"/>
      <c r="B148" s="6"/>
      <c r="C148" s="6"/>
      <c r="D148" s="6"/>
      <c r="E148" s="6"/>
      <c r="F148" s="6"/>
      <c r="G148" s="6"/>
      <c r="H148" s="6"/>
      <c r="I148" s="18"/>
      <c r="J148" s="6"/>
      <c r="K148" s="6"/>
      <c r="L148" s="9"/>
      <c r="M148" s="6"/>
      <c r="N148" s="6"/>
      <c r="O148" s="9"/>
      <c r="P148" s="6"/>
      <c r="Q148" s="6"/>
      <c r="R148" s="18"/>
      <c r="S148" s="9"/>
    </row>
    <row r="149" spans="1:19" ht="14.25" customHeight="1">
      <c r="A149" s="29"/>
      <c r="B149" s="6"/>
      <c r="C149" s="6"/>
      <c r="D149" s="6"/>
      <c r="E149" s="6"/>
      <c r="F149" s="6"/>
      <c r="G149" s="6"/>
      <c r="H149" s="6"/>
      <c r="I149" s="18"/>
      <c r="J149" s="6"/>
      <c r="K149" s="6"/>
      <c r="L149" s="9"/>
      <c r="M149" s="6"/>
      <c r="N149" s="6"/>
      <c r="O149" s="9"/>
      <c r="P149" s="6"/>
      <c r="Q149" s="6"/>
      <c r="R149" s="18"/>
      <c r="S149" s="9"/>
    </row>
    <row r="150" spans="1:19" ht="14.25" customHeight="1">
      <c r="A150" s="29"/>
      <c r="B150" s="6"/>
      <c r="C150" s="6"/>
      <c r="D150" s="6"/>
      <c r="E150" s="6"/>
      <c r="F150" s="6"/>
      <c r="G150" s="6"/>
      <c r="H150" s="6"/>
      <c r="I150" s="18"/>
      <c r="J150" s="6"/>
      <c r="K150" s="6"/>
      <c r="L150" s="9"/>
      <c r="M150" s="6"/>
      <c r="N150" s="6"/>
      <c r="O150" s="9"/>
      <c r="P150" s="6"/>
      <c r="Q150" s="6"/>
      <c r="R150" s="18"/>
      <c r="S150" s="9"/>
    </row>
    <row r="151" spans="1:19" ht="14.25" customHeight="1">
      <c r="A151" s="29"/>
      <c r="B151" s="6"/>
      <c r="C151" s="6"/>
      <c r="D151" s="6"/>
      <c r="E151" s="6"/>
      <c r="F151" s="6"/>
      <c r="G151" s="6"/>
      <c r="H151" s="6"/>
      <c r="I151" s="18"/>
      <c r="J151" s="6"/>
      <c r="K151" s="6"/>
      <c r="L151" s="9"/>
      <c r="M151" s="6"/>
      <c r="N151" s="6"/>
      <c r="O151" s="9"/>
      <c r="P151" s="6"/>
      <c r="Q151" s="6"/>
      <c r="R151" s="18"/>
      <c r="S151" s="9"/>
    </row>
    <row r="152" spans="1:19" ht="14.25" customHeight="1">
      <c r="A152" s="29"/>
      <c r="B152" s="6"/>
      <c r="C152" s="6"/>
      <c r="D152" s="6"/>
      <c r="E152" s="6"/>
      <c r="F152" s="6"/>
      <c r="G152" s="6"/>
      <c r="H152" s="6"/>
      <c r="I152" s="18"/>
      <c r="J152" s="6"/>
      <c r="K152" s="6"/>
      <c r="L152" s="9"/>
      <c r="M152" s="6"/>
      <c r="N152" s="6"/>
      <c r="O152" s="9"/>
      <c r="P152" s="6"/>
      <c r="Q152" s="6"/>
      <c r="R152" s="18"/>
      <c r="S152" s="9"/>
    </row>
    <row r="153" spans="1:19" ht="14.25" customHeight="1">
      <c r="A153" s="29"/>
      <c r="B153" s="6"/>
      <c r="C153" s="6"/>
      <c r="D153" s="6"/>
      <c r="E153" s="6"/>
      <c r="F153" s="6"/>
      <c r="G153" s="6"/>
      <c r="H153" s="6"/>
      <c r="I153" s="18"/>
      <c r="J153" s="6"/>
      <c r="K153" s="6"/>
      <c r="L153" s="9"/>
      <c r="M153" s="6"/>
      <c r="N153" s="6"/>
      <c r="O153" s="9"/>
      <c r="P153" s="6"/>
      <c r="Q153" s="6"/>
      <c r="R153" s="18"/>
      <c r="S153" s="9"/>
    </row>
    <row r="154" spans="1:19" ht="14.25" customHeight="1">
      <c r="A154" s="29"/>
      <c r="B154" s="6"/>
      <c r="C154" s="6"/>
      <c r="D154" s="6"/>
      <c r="E154" s="6"/>
      <c r="F154" s="6"/>
      <c r="G154" s="6"/>
      <c r="H154" s="6"/>
      <c r="I154" s="18"/>
      <c r="J154" s="6"/>
      <c r="K154" s="6"/>
      <c r="L154" s="9"/>
      <c r="M154" s="6"/>
      <c r="N154" s="6"/>
      <c r="O154" s="9"/>
      <c r="P154" s="6"/>
      <c r="Q154" s="6"/>
      <c r="R154" s="18"/>
      <c r="S154" s="9"/>
    </row>
    <row r="155" spans="1:19" ht="14.25" customHeight="1">
      <c r="A155" s="29"/>
      <c r="B155" s="6"/>
      <c r="C155" s="6"/>
      <c r="D155" s="6"/>
      <c r="E155" s="6"/>
      <c r="F155" s="6"/>
      <c r="G155" s="6"/>
      <c r="H155" s="6"/>
      <c r="I155" s="18"/>
      <c r="J155" s="6"/>
      <c r="K155" s="6"/>
      <c r="L155" s="9"/>
      <c r="M155" s="6"/>
      <c r="N155" s="6"/>
      <c r="O155" s="9"/>
      <c r="P155" s="6"/>
      <c r="Q155" s="6"/>
      <c r="R155" s="18"/>
      <c r="S155" s="9"/>
    </row>
    <row r="156" spans="1:19" ht="14.25" customHeight="1">
      <c r="A156" s="29"/>
      <c r="B156" s="6"/>
      <c r="C156" s="6"/>
      <c r="D156" s="6"/>
      <c r="E156" s="6"/>
      <c r="F156" s="6"/>
      <c r="G156" s="6"/>
      <c r="H156" s="6"/>
      <c r="I156" s="18"/>
      <c r="J156" s="6"/>
      <c r="K156" s="6"/>
      <c r="L156" s="9"/>
      <c r="M156" s="6"/>
      <c r="N156" s="6"/>
      <c r="O156" s="9"/>
      <c r="P156" s="6"/>
      <c r="Q156" s="6"/>
      <c r="R156" s="18"/>
      <c r="S156" s="9"/>
    </row>
    <row r="157" spans="1:19" ht="14.25" customHeight="1">
      <c r="A157" s="29"/>
      <c r="B157" s="6"/>
      <c r="C157" s="6"/>
      <c r="D157" s="6"/>
      <c r="E157" s="6"/>
      <c r="F157" s="6"/>
      <c r="G157" s="6"/>
      <c r="H157" s="6"/>
      <c r="I157" s="18"/>
      <c r="J157" s="6"/>
      <c r="K157" s="6"/>
      <c r="L157" s="9"/>
      <c r="M157" s="6"/>
      <c r="N157" s="6"/>
      <c r="O157" s="9"/>
      <c r="P157" s="6"/>
      <c r="Q157" s="6"/>
      <c r="R157" s="18"/>
      <c r="S157" s="9"/>
    </row>
    <row r="158" spans="1:19" ht="14.25" customHeight="1">
      <c r="A158" s="29"/>
      <c r="B158" s="6"/>
      <c r="C158" s="6"/>
      <c r="D158" s="6"/>
      <c r="E158" s="6"/>
      <c r="F158" s="6"/>
      <c r="G158" s="6"/>
      <c r="H158" s="6"/>
      <c r="I158" s="18"/>
      <c r="J158" s="6"/>
      <c r="K158" s="6"/>
      <c r="L158" s="9"/>
      <c r="M158" s="6"/>
      <c r="N158" s="6"/>
      <c r="O158" s="9"/>
      <c r="P158" s="6"/>
      <c r="Q158" s="6"/>
      <c r="R158" s="18"/>
      <c r="S158" s="9"/>
    </row>
    <row r="159" spans="1:19" ht="14.25" customHeight="1">
      <c r="A159" s="29"/>
      <c r="B159" s="6"/>
      <c r="C159" s="6"/>
      <c r="D159" s="6"/>
      <c r="E159" s="6"/>
      <c r="F159" s="6"/>
      <c r="G159" s="6"/>
      <c r="H159" s="6"/>
      <c r="I159" s="18"/>
      <c r="J159" s="6"/>
      <c r="K159" s="6"/>
      <c r="L159" s="9"/>
      <c r="M159" s="6"/>
      <c r="N159" s="6"/>
      <c r="O159" s="9"/>
      <c r="P159" s="6"/>
      <c r="Q159" s="6"/>
      <c r="R159" s="18"/>
      <c r="S159" s="9"/>
    </row>
    <row r="160" spans="1:19" ht="14.25" customHeight="1">
      <c r="A160" s="29"/>
      <c r="B160" s="6"/>
      <c r="C160" s="6"/>
      <c r="D160" s="6"/>
      <c r="E160" s="6"/>
      <c r="F160" s="6"/>
      <c r="G160" s="6"/>
      <c r="H160" s="6"/>
      <c r="I160" s="18"/>
      <c r="J160" s="6"/>
      <c r="K160" s="6"/>
      <c r="L160" s="9"/>
      <c r="M160" s="6"/>
      <c r="N160" s="6"/>
      <c r="O160" s="9"/>
      <c r="P160" s="6"/>
      <c r="Q160" s="6"/>
      <c r="R160" s="18"/>
      <c r="S160" s="9"/>
    </row>
    <row r="161" spans="1:19" ht="14.25" customHeight="1">
      <c r="A161" s="29"/>
      <c r="B161" s="6"/>
      <c r="C161" s="6"/>
      <c r="D161" s="6"/>
      <c r="E161" s="6"/>
      <c r="F161" s="6"/>
      <c r="G161" s="6"/>
      <c r="H161" s="6"/>
      <c r="I161" s="18"/>
      <c r="J161" s="6"/>
      <c r="K161" s="6"/>
      <c r="L161" s="9"/>
      <c r="M161" s="6"/>
      <c r="N161" s="6"/>
      <c r="O161" s="9"/>
      <c r="P161" s="6"/>
      <c r="Q161" s="6"/>
      <c r="R161" s="18"/>
      <c r="S161" s="9"/>
    </row>
    <row r="162" spans="1:19" ht="14.25" customHeight="1">
      <c r="A162" s="29"/>
      <c r="B162" s="6"/>
      <c r="C162" s="6"/>
      <c r="D162" s="6"/>
      <c r="E162" s="6"/>
      <c r="F162" s="6"/>
      <c r="G162" s="6"/>
      <c r="H162" s="6"/>
      <c r="I162" s="18"/>
      <c r="J162" s="6"/>
      <c r="K162" s="6"/>
      <c r="L162" s="9"/>
      <c r="M162" s="6"/>
      <c r="N162" s="6"/>
      <c r="O162" s="9"/>
      <c r="P162" s="6"/>
      <c r="Q162" s="6"/>
      <c r="R162" s="18"/>
      <c r="S162" s="9"/>
    </row>
    <row r="163" spans="1:19" ht="14.25" customHeight="1">
      <c r="A163" s="29"/>
      <c r="B163" s="6"/>
      <c r="C163" s="6"/>
      <c r="D163" s="6"/>
      <c r="E163" s="6"/>
      <c r="F163" s="6"/>
      <c r="G163" s="6"/>
      <c r="H163" s="6"/>
      <c r="I163" s="18"/>
      <c r="J163" s="6"/>
      <c r="K163" s="6"/>
      <c r="L163" s="9"/>
      <c r="M163" s="6"/>
      <c r="N163" s="6"/>
      <c r="O163" s="9"/>
      <c r="P163" s="6"/>
      <c r="Q163" s="6"/>
      <c r="R163" s="18"/>
      <c r="S163" s="9"/>
    </row>
    <row r="164" spans="1:19" ht="14.25" customHeight="1">
      <c r="A164" s="29"/>
      <c r="B164" s="6"/>
      <c r="C164" s="6"/>
      <c r="D164" s="6"/>
      <c r="E164" s="6"/>
      <c r="F164" s="6"/>
      <c r="G164" s="6"/>
      <c r="H164" s="6"/>
      <c r="I164" s="18"/>
      <c r="J164" s="6"/>
      <c r="K164" s="6"/>
      <c r="L164" s="9"/>
      <c r="M164" s="6"/>
      <c r="N164" s="6"/>
      <c r="O164" s="9"/>
      <c r="P164" s="6"/>
      <c r="Q164" s="6"/>
      <c r="R164" s="18"/>
      <c r="S164" s="9"/>
    </row>
    <row r="165" spans="1:19" ht="14.25" customHeight="1">
      <c r="A165" s="29"/>
      <c r="B165" s="6"/>
      <c r="C165" s="6"/>
      <c r="D165" s="6"/>
      <c r="E165" s="6"/>
      <c r="F165" s="6"/>
      <c r="G165" s="6"/>
      <c r="H165" s="6"/>
      <c r="I165" s="18"/>
      <c r="J165" s="6"/>
      <c r="K165" s="6"/>
      <c r="L165" s="9"/>
      <c r="M165" s="6"/>
      <c r="N165" s="6"/>
      <c r="O165" s="9"/>
      <c r="P165" s="6"/>
      <c r="Q165" s="6"/>
      <c r="R165" s="18"/>
      <c r="S165" s="9"/>
    </row>
    <row r="166" spans="1:19" ht="14.25" customHeight="1">
      <c r="A166" s="29"/>
      <c r="B166" s="6"/>
      <c r="C166" s="6"/>
      <c r="D166" s="6"/>
      <c r="E166" s="6"/>
      <c r="F166" s="6"/>
      <c r="G166" s="6"/>
      <c r="H166" s="6"/>
      <c r="I166" s="18"/>
      <c r="J166" s="6"/>
      <c r="K166" s="6"/>
      <c r="L166" s="9"/>
      <c r="M166" s="6"/>
      <c r="N166" s="6"/>
      <c r="O166" s="9"/>
      <c r="P166" s="6"/>
      <c r="Q166" s="6"/>
      <c r="R166" s="18"/>
      <c r="S166" s="9"/>
    </row>
    <row r="167" spans="1:19" ht="14.25" customHeight="1">
      <c r="A167" s="29"/>
      <c r="B167" s="6"/>
      <c r="C167" s="6"/>
      <c r="D167" s="6"/>
      <c r="E167" s="6"/>
      <c r="F167" s="6"/>
      <c r="G167" s="6"/>
      <c r="H167" s="6"/>
      <c r="I167" s="18"/>
      <c r="J167" s="6"/>
      <c r="K167" s="6"/>
      <c r="L167" s="9"/>
      <c r="M167" s="6"/>
      <c r="N167" s="6"/>
      <c r="O167" s="9"/>
      <c r="P167" s="6"/>
      <c r="Q167" s="6"/>
      <c r="R167" s="18"/>
      <c r="S167" s="9"/>
    </row>
    <row r="168" spans="1:19" ht="14.25" customHeight="1">
      <c r="A168" s="29"/>
      <c r="B168" s="6"/>
      <c r="C168" s="6"/>
      <c r="D168" s="6"/>
      <c r="E168" s="6"/>
      <c r="F168" s="6"/>
      <c r="G168" s="6"/>
      <c r="H168" s="6"/>
      <c r="I168" s="18"/>
      <c r="J168" s="6"/>
      <c r="K168" s="6"/>
      <c r="L168" s="9"/>
      <c r="M168" s="6"/>
      <c r="N168" s="6"/>
      <c r="O168" s="9"/>
      <c r="P168" s="6"/>
      <c r="Q168" s="6"/>
      <c r="R168" s="18"/>
      <c r="S168" s="9"/>
    </row>
    <row r="169" spans="1:19" ht="14.25" customHeight="1">
      <c r="A169" s="29"/>
      <c r="B169" s="6"/>
      <c r="C169" s="6"/>
      <c r="D169" s="6"/>
      <c r="E169" s="6"/>
      <c r="F169" s="6"/>
      <c r="G169" s="6"/>
      <c r="H169" s="6"/>
      <c r="I169" s="18"/>
      <c r="J169" s="6"/>
      <c r="K169" s="6"/>
      <c r="L169" s="9"/>
      <c r="M169" s="6"/>
      <c r="N169" s="6"/>
      <c r="O169" s="9"/>
      <c r="P169" s="6"/>
      <c r="Q169" s="6"/>
      <c r="R169" s="18"/>
      <c r="S169" s="9"/>
    </row>
    <row r="170" spans="1:19" ht="14.25" customHeight="1">
      <c r="A170" s="29"/>
      <c r="B170" s="6"/>
      <c r="C170" s="6"/>
      <c r="D170" s="6"/>
      <c r="E170" s="6"/>
      <c r="F170" s="6"/>
      <c r="G170" s="6"/>
      <c r="H170" s="6"/>
      <c r="I170" s="18"/>
      <c r="J170" s="6"/>
      <c r="K170" s="6"/>
      <c r="L170" s="9"/>
      <c r="M170" s="6"/>
      <c r="N170" s="6"/>
      <c r="O170" s="9"/>
      <c r="P170" s="6"/>
      <c r="Q170" s="6"/>
      <c r="R170" s="18"/>
      <c r="S170" s="9"/>
    </row>
    <row r="171" spans="1:19" ht="14.25" customHeight="1">
      <c r="A171" s="29"/>
      <c r="B171" s="6"/>
      <c r="C171" s="6"/>
      <c r="D171" s="6"/>
      <c r="E171" s="6"/>
      <c r="F171" s="6"/>
      <c r="G171" s="6"/>
      <c r="H171" s="6"/>
      <c r="I171" s="18"/>
      <c r="J171" s="6"/>
      <c r="K171" s="6"/>
      <c r="L171" s="9"/>
      <c r="M171" s="6"/>
      <c r="N171" s="6"/>
      <c r="O171" s="9"/>
      <c r="P171" s="6"/>
      <c r="Q171" s="6"/>
      <c r="R171" s="18"/>
      <c r="S171" s="9"/>
    </row>
    <row r="172" spans="1:19" ht="14.25" customHeight="1">
      <c r="A172" s="29"/>
      <c r="B172" s="6"/>
      <c r="C172" s="6"/>
      <c r="D172" s="6"/>
      <c r="E172" s="6"/>
      <c r="F172" s="6"/>
      <c r="G172" s="6"/>
      <c r="H172" s="6"/>
      <c r="I172" s="18"/>
      <c r="J172" s="6"/>
      <c r="K172" s="6"/>
      <c r="L172" s="9"/>
      <c r="M172" s="6"/>
      <c r="N172" s="6"/>
      <c r="O172" s="9"/>
      <c r="P172" s="6"/>
      <c r="Q172" s="6"/>
      <c r="R172" s="18"/>
      <c r="S172" s="9"/>
    </row>
    <row r="173" spans="1:19" ht="14.25" customHeight="1">
      <c r="A173" s="29"/>
      <c r="B173" s="6"/>
      <c r="C173" s="6"/>
      <c r="D173" s="6"/>
      <c r="E173" s="6"/>
      <c r="F173" s="6"/>
      <c r="G173" s="6"/>
      <c r="H173" s="6"/>
      <c r="I173" s="18"/>
      <c r="J173" s="6"/>
      <c r="K173" s="6"/>
      <c r="L173" s="9"/>
      <c r="M173" s="6"/>
      <c r="N173" s="6"/>
      <c r="O173" s="9"/>
      <c r="P173" s="6"/>
      <c r="Q173" s="6"/>
      <c r="R173" s="18"/>
      <c r="S173" s="9"/>
    </row>
    <row r="174" spans="1:19" ht="14.25" customHeight="1">
      <c r="A174" s="29"/>
      <c r="B174" s="6"/>
      <c r="C174" s="6"/>
      <c r="D174" s="6"/>
      <c r="E174" s="6"/>
      <c r="F174" s="6"/>
      <c r="G174" s="6"/>
      <c r="H174" s="6"/>
      <c r="I174" s="18"/>
      <c r="J174" s="6"/>
      <c r="K174" s="6"/>
      <c r="L174" s="9"/>
      <c r="M174" s="6"/>
      <c r="N174" s="6"/>
      <c r="O174" s="9"/>
      <c r="P174" s="6"/>
      <c r="Q174" s="6"/>
      <c r="R174" s="18"/>
      <c r="S174" s="9"/>
    </row>
    <row r="175" spans="1:19" ht="14.25" customHeight="1">
      <c r="A175" s="29"/>
      <c r="B175" s="6"/>
      <c r="C175" s="6"/>
      <c r="D175" s="6"/>
      <c r="E175" s="6"/>
      <c r="F175" s="6"/>
      <c r="G175" s="6"/>
      <c r="H175" s="6"/>
      <c r="I175" s="18"/>
      <c r="J175" s="6"/>
      <c r="K175" s="6"/>
      <c r="L175" s="9"/>
      <c r="M175" s="6"/>
      <c r="N175" s="6"/>
      <c r="O175" s="9"/>
      <c r="P175" s="6"/>
      <c r="Q175" s="6"/>
      <c r="R175" s="18"/>
      <c r="S175" s="9"/>
    </row>
    <row r="176" spans="1:19" ht="14.25" customHeight="1">
      <c r="A176" s="29"/>
      <c r="B176" s="6"/>
      <c r="C176" s="6"/>
      <c r="D176" s="6"/>
      <c r="E176" s="6"/>
      <c r="F176" s="6"/>
      <c r="G176" s="6"/>
      <c r="H176" s="6"/>
      <c r="I176" s="18"/>
      <c r="J176" s="6"/>
      <c r="K176" s="6"/>
      <c r="L176" s="9"/>
      <c r="M176" s="6"/>
      <c r="N176" s="6"/>
      <c r="O176" s="9"/>
      <c r="P176" s="6"/>
      <c r="Q176" s="6"/>
      <c r="R176" s="18"/>
      <c r="S176" s="9"/>
    </row>
    <row r="177" spans="1:19" ht="14.25" customHeight="1">
      <c r="A177" s="29"/>
      <c r="B177" s="6"/>
      <c r="C177" s="6"/>
      <c r="D177" s="6"/>
      <c r="E177" s="6"/>
      <c r="F177" s="6"/>
      <c r="G177" s="6"/>
      <c r="H177" s="6"/>
      <c r="I177" s="18"/>
      <c r="J177" s="6"/>
      <c r="K177" s="6"/>
      <c r="L177" s="9"/>
      <c r="M177" s="6"/>
      <c r="N177" s="6"/>
      <c r="O177" s="9"/>
      <c r="P177" s="6"/>
      <c r="Q177" s="6"/>
      <c r="R177" s="18"/>
      <c r="S177" s="9"/>
    </row>
    <row r="178" spans="1:19" ht="14.25" customHeight="1">
      <c r="A178" s="29"/>
      <c r="B178" s="6"/>
      <c r="C178" s="6"/>
      <c r="D178" s="6"/>
      <c r="E178" s="6"/>
      <c r="F178" s="6"/>
      <c r="G178" s="6"/>
      <c r="H178" s="6"/>
      <c r="I178" s="18"/>
      <c r="J178" s="6"/>
      <c r="K178" s="6"/>
      <c r="L178" s="9"/>
      <c r="M178" s="6"/>
      <c r="N178" s="6"/>
      <c r="O178" s="9"/>
      <c r="P178" s="6"/>
      <c r="Q178" s="6"/>
      <c r="R178" s="18"/>
      <c r="S178" s="9"/>
    </row>
    <row r="179" spans="1:19" ht="14.25" customHeight="1">
      <c r="A179" s="29"/>
      <c r="B179" s="6"/>
      <c r="C179" s="6"/>
      <c r="D179" s="6"/>
      <c r="E179" s="6"/>
      <c r="F179" s="6"/>
      <c r="G179" s="6"/>
      <c r="H179" s="6"/>
      <c r="I179" s="18"/>
      <c r="J179" s="6"/>
      <c r="K179" s="6"/>
      <c r="L179" s="9"/>
      <c r="M179" s="6"/>
      <c r="N179" s="6"/>
      <c r="O179" s="9"/>
      <c r="P179" s="6"/>
      <c r="Q179" s="6"/>
      <c r="R179" s="18"/>
      <c r="S179" s="9"/>
    </row>
    <row r="180" spans="1:19" ht="14.25" customHeight="1">
      <c r="A180" s="29"/>
      <c r="B180" s="6"/>
      <c r="C180" s="6"/>
      <c r="D180" s="6"/>
      <c r="E180" s="6"/>
      <c r="F180" s="6"/>
      <c r="G180" s="6"/>
      <c r="H180" s="6"/>
      <c r="I180" s="18"/>
      <c r="J180" s="6"/>
      <c r="K180" s="6"/>
      <c r="L180" s="9"/>
      <c r="M180" s="6"/>
      <c r="N180" s="6"/>
      <c r="O180" s="9"/>
      <c r="P180" s="6"/>
      <c r="Q180" s="6"/>
      <c r="R180" s="18"/>
      <c r="S180" s="9"/>
    </row>
    <row r="181" spans="1:19" ht="14.25" customHeight="1">
      <c r="A181" s="29"/>
      <c r="B181" s="6"/>
      <c r="C181" s="6"/>
      <c r="D181" s="6"/>
      <c r="E181" s="6"/>
      <c r="F181" s="6"/>
      <c r="G181" s="6"/>
      <c r="H181" s="6"/>
      <c r="I181" s="18"/>
      <c r="J181" s="6"/>
      <c r="K181" s="6"/>
      <c r="L181" s="9"/>
      <c r="M181" s="6"/>
      <c r="N181" s="6"/>
      <c r="O181" s="9"/>
      <c r="P181" s="6"/>
      <c r="Q181" s="6"/>
      <c r="R181" s="18"/>
      <c r="S181" s="9"/>
    </row>
    <row r="182" spans="1:19" ht="14.25" customHeight="1">
      <c r="A182" s="29"/>
      <c r="B182" s="6"/>
      <c r="C182" s="6"/>
      <c r="D182" s="6"/>
      <c r="E182" s="6"/>
      <c r="F182" s="6"/>
      <c r="G182" s="6"/>
      <c r="H182" s="6"/>
      <c r="I182" s="18"/>
      <c r="J182" s="6"/>
      <c r="K182" s="6"/>
      <c r="L182" s="9"/>
      <c r="M182" s="6"/>
      <c r="N182" s="6"/>
      <c r="O182" s="9"/>
      <c r="P182" s="6"/>
      <c r="Q182" s="6"/>
      <c r="R182" s="18"/>
      <c r="S182" s="9"/>
    </row>
    <row r="183" spans="1:19" ht="14.25" customHeight="1">
      <c r="A183" s="29"/>
      <c r="B183" s="6"/>
      <c r="C183" s="6"/>
      <c r="D183" s="6"/>
      <c r="E183" s="6"/>
      <c r="F183" s="6"/>
      <c r="G183" s="6"/>
      <c r="H183" s="6"/>
      <c r="I183" s="18"/>
      <c r="J183" s="6"/>
      <c r="K183" s="6"/>
      <c r="L183" s="9"/>
      <c r="M183" s="6"/>
      <c r="N183" s="6"/>
      <c r="O183" s="9"/>
      <c r="P183" s="6"/>
      <c r="Q183" s="6"/>
      <c r="R183" s="18"/>
      <c r="S183" s="9"/>
    </row>
    <row r="184" spans="1:19" ht="14.25" customHeight="1">
      <c r="A184" s="29"/>
      <c r="B184" s="6"/>
      <c r="C184" s="6"/>
      <c r="D184" s="6"/>
      <c r="E184" s="6"/>
      <c r="F184" s="6"/>
      <c r="G184" s="6"/>
      <c r="H184" s="6"/>
      <c r="I184" s="18"/>
      <c r="J184" s="6"/>
      <c r="K184" s="6"/>
      <c r="L184" s="9"/>
      <c r="M184" s="6"/>
      <c r="N184" s="6"/>
      <c r="O184" s="9"/>
      <c r="P184" s="6"/>
      <c r="Q184" s="6"/>
      <c r="R184" s="18"/>
      <c r="S184" s="9"/>
    </row>
    <row r="185" spans="1:19" ht="14.25" customHeight="1">
      <c r="A185" s="29"/>
      <c r="B185" s="6"/>
      <c r="C185" s="6"/>
      <c r="D185" s="6"/>
      <c r="E185" s="6"/>
      <c r="F185" s="6"/>
      <c r="G185" s="6"/>
      <c r="H185" s="6"/>
      <c r="I185" s="18"/>
      <c r="J185" s="6"/>
      <c r="K185" s="6"/>
      <c r="L185" s="9"/>
      <c r="M185" s="6"/>
      <c r="N185" s="6"/>
      <c r="O185" s="9"/>
      <c r="P185" s="6"/>
      <c r="Q185" s="6"/>
      <c r="R185" s="18"/>
      <c r="S185" s="9"/>
    </row>
    <row r="186" spans="1:19" ht="14.25" customHeight="1">
      <c r="A186" s="29"/>
      <c r="B186" s="6"/>
      <c r="C186" s="6"/>
      <c r="D186" s="6"/>
      <c r="E186" s="6"/>
      <c r="F186" s="6"/>
      <c r="G186" s="6"/>
      <c r="H186" s="6"/>
      <c r="I186" s="18"/>
      <c r="J186" s="6"/>
      <c r="K186" s="6"/>
      <c r="L186" s="9"/>
      <c r="M186" s="6"/>
      <c r="N186" s="6"/>
      <c r="O186" s="9"/>
      <c r="P186" s="6"/>
      <c r="Q186" s="6"/>
      <c r="R186" s="18"/>
      <c r="S186" s="9"/>
    </row>
    <row r="187" spans="1:19" ht="14.25" customHeight="1">
      <c r="A187" s="29"/>
      <c r="B187" s="6"/>
      <c r="C187" s="6"/>
      <c r="D187" s="6"/>
      <c r="E187" s="6"/>
      <c r="F187" s="6"/>
      <c r="G187" s="6"/>
      <c r="H187" s="6"/>
      <c r="I187" s="18"/>
      <c r="J187" s="6"/>
      <c r="K187" s="6"/>
      <c r="L187" s="9"/>
      <c r="M187" s="6"/>
      <c r="N187" s="6"/>
      <c r="O187" s="9"/>
      <c r="P187" s="6"/>
      <c r="Q187" s="6"/>
      <c r="R187" s="18"/>
      <c r="S187" s="9"/>
    </row>
    <row r="188" spans="1:19" ht="14.25" customHeight="1">
      <c r="A188" s="29"/>
      <c r="B188" s="6"/>
      <c r="C188" s="6"/>
      <c r="D188" s="6"/>
      <c r="E188" s="6"/>
      <c r="F188" s="6"/>
      <c r="G188" s="6"/>
      <c r="H188" s="6"/>
      <c r="I188" s="18"/>
      <c r="J188" s="6"/>
      <c r="K188" s="6"/>
      <c r="L188" s="9"/>
      <c r="M188" s="6"/>
      <c r="N188" s="6"/>
      <c r="O188" s="9"/>
      <c r="P188" s="6"/>
      <c r="Q188" s="6"/>
      <c r="R188" s="18"/>
      <c r="S188" s="9"/>
    </row>
    <row r="189" spans="1:19" ht="14.25" customHeight="1">
      <c r="A189" s="29"/>
      <c r="B189" s="6"/>
      <c r="C189" s="6"/>
      <c r="D189" s="6"/>
      <c r="E189" s="6"/>
      <c r="F189" s="6"/>
      <c r="G189" s="6"/>
      <c r="H189" s="6"/>
      <c r="I189" s="18"/>
      <c r="J189" s="6"/>
      <c r="K189" s="6"/>
      <c r="L189" s="9"/>
      <c r="M189" s="6"/>
      <c r="N189" s="6"/>
      <c r="O189" s="9"/>
      <c r="P189" s="6"/>
      <c r="Q189" s="6"/>
      <c r="R189" s="18"/>
      <c r="S189" s="9"/>
    </row>
    <row r="190" spans="1:19" ht="14.25" customHeight="1">
      <c r="A190" s="29"/>
      <c r="B190" s="6"/>
      <c r="C190" s="6"/>
      <c r="D190" s="6"/>
      <c r="E190" s="6"/>
      <c r="F190" s="6"/>
      <c r="G190" s="6"/>
      <c r="H190" s="6"/>
      <c r="I190" s="18"/>
      <c r="J190" s="6"/>
      <c r="K190" s="6"/>
      <c r="L190" s="9"/>
      <c r="M190" s="6"/>
      <c r="N190" s="6"/>
      <c r="O190" s="9"/>
      <c r="P190" s="6"/>
      <c r="Q190" s="6"/>
      <c r="R190" s="18"/>
      <c r="S190" s="9"/>
    </row>
    <row r="191" spans="1:19" ht="14.25" customHeight="1">
      <c r="A191" s="29"/>
      <c r="B191" s="6"/>
      <c r="C191" s="6"/>
      <c r="D191" s="6"/>
      <c r="E191" s="6"/>
      <c r="F191" s="6"/>
      <c r="G191" s="6"/>
      <c r="H191" s="6"/>
      <c r="I191" s="18"/>
      <c r="J191" s="6"/>
      <c r="K191" s="6"/>
      <c r="L191" s="9"/>
      <c r="M191" s="6"/>
      <c r="N191" s="6"/>
      <c r="O191" s="9"/>
      <c r="P191" s="6"/>
      <c r="Q191" s="6"/>
      <c r="R191" s="18"/>
      <c r="S191" s="9"/>
    </row>
    <row r="192" spans="1:19" ht="14.25" customHeight="1">
      <c r="A192" s="29"/>
      <c r="B192" s="6"/>
      <c r="C192" s="6"/>
      <c r="D192" s="6"/>
      <c r="E192" s="6"/>
      <c r="F192" s="6"/>
      <c r="G192" s="6"/>
      <c r="H192" s="6"/>
      <c r="I192" s="18"/>
      <c r="J192" s="6"/>
      <c r="K192" s="6"/>
      <c r="L192" s="9"/>
      <c r="M192" s="6"/>
      <c r="N192" s="6"/>
      <c r="O192" s="9"/>
      <c r="P192" s="6"/>
      <c r="Q192" s="6"/>
      <c r="R192" s="18"/>
      <c r="S192" s="9"/>
    </row>
    <row r="193" spans="1:19" ht="14.25" customHeight="1">
      <c r="A193" s="29"/>
      <c r="B193" s="6"/>
      <c r="C193" s="6"/>
      <c r="D193" s="6"/>
      <c r="E193" s="6"/>
      <c r="F193" s="6"/>
      <c r="G193" s="6"/>
      <c r="H193" s="6"/>
      <c r="I193" s="18"/>
      <c r="J193" s="6"/>
      <c r="K193" s="6"/>
      <c r="L193" s="9"/>
      <c r="M193" s="6"/>
      <c r="N193" s="6"/>
      <c r="O193" s="9"/>
      <c r="P193" s="6"/>
      <c r="Q193" s="6"/>
      <c r="R193" s="18"/>
      <c r="S193" s="9"/>
    </row>
    <row r="194" spans="1:19" ht="14.25" customHeight="1">
      <c r="A194" s="29"/>
      <c r="B194" s="6"/>
      <c r="C194" s="6"/>
      <c r="D194" s="6"/>
      <c r="E194" s="6"/>
      <c r="F194" s="6"/>
      <c r="G194" s="6"/>
      <c r="H194" s="6"/>
      <c r="I194" s="18"/>
      <c r="J194" s="6"/>
      <c r="K194" s="6"/>
      <c r="L194" s="9"/>
      <c r="M194" s="6"/>
      <c r="N194" s="6"/>
      <c r="O194" s="9"/>
      <c r="P194" s="6"/>
      <c r="Q194" s="6"/>
      <c r="R194" s="18"/>
      <c r="S194" s="9"/>
    </row>
    <row r="195" spans="1:19" ht="14.25" customHeight="1">
      <c r="A195" s="29"/>
      <c r="B195" s="6"/>
      <c r="C195" s="6"/>
      <c r="D195" s="6"/>
      <c r="E195" s="6"/>
      <c r="F195" s="6"/>
      <c r="G195" s="6"/>
      <c r="H195" s="6"/>
      <c r="I195" s="18"/>
      <c r="J195" s="6"/>
      <c r="K195" s="6"/>
      <c r="L195" s="9"/>
      <c r="M195" s="6"/>
      <c r="N195" s="6"/>
      <c r="O195" s="9"/>
      <c r="P195" s="6"/>
      <c r="Q195" s="6"/>
      <c r="R195" s="18"/>
      <c r="S195" s="9"/>
    </row>
    <row r="196" spans="1:19" ht="14.25" customHeight="1">
      <c r="A196" s="29"/>
      <c r="B196" s="6"/>
      <c r="C196" s="6"/>
      <c r="D196" s="6"/>
      <c r="E196" s="6"/>
      <c r="F196" s="6"/>
      <c r="G196" s="6"/>
      <c r="H196" s="6"/>
      <c r="I196" s="18"/>
      <c r="J196" s="6"/>
      <c r="K196" s="6"/>
      <c r="L196" s="9"/>
      <c r="M196" s="6"/>
      <c r="N196" s="6"/>
      <c r="O196" s="9"/>
      <c r="P196" s="6"/>
      <c r="Q196" s="6"/>
      <c r="R196" s="18"/>
      <c r="S196" s="9"/>
    </row>
    <row r="197" spans="1:19" ht="14.25" customHeight="1">
      <c r="A197" s="29"/>
      <c r="B197" s="6"/>
      <c r="C197" s="6"/>
      <c r="D197" s="6"/>
      <c r="E197" s="6"/>
      <c r="F197" s="6"/>
      <c r="G197" s="6"/>
      <c r="H197" s="6"/>
      <c r="I197" s="18"/>
      <c r="J197" s="6"/>
      <c r="K197" s="6"/>
      <c r="L197" s="9"/>
      <c r="M197" s="6"/>
      <c r="N197" s="6"/>
      <c r="O197" s="9"/>
      <c r="P197" s="6"/>
      <c r="Q197" s="6"/>
      <c r="R197" s="18"/>
      <c r="S197" s="9"/>
    </row>
    <row r="198" spans="1:19" ht="14.25" customHeight="1">
      <c r="A198" s="29"/>
      <c r="B198" s="6"/>
      <c r="C198" s="6"/>
      <c r="D198" s="6"/>
      <c r="E198" s="6"/>
      <c r="F198" s="6"/>
      <c r="G198" s="6"/>
      <c r="H198" s="6"/>
      <c r="I198" s="18"/>
      <c r="J198" s="6"/>
      <c r="K198" s="6"/>
      <c r="L198" s="9"/>
      <c r="M198" s="6"/>
      <c r="N198" s="6"/>
      <c r="O198" s="9"/>
      <c r="P198" s="6"/>
      <c r="Q198" s="6"/>
      <c r="R198" s="18"/>
      <c r="S198" s="9"/>
    </row>
    <row r="199" spans="1:19" ht="14.25" customHeight="1">
      <c r="A199" s="29"/>
      <c r="B199" s="6"/>
      <c r="C199" s="6"/>
      <c r="D199" s="6"/>
      <c r="E199" s="6"/>
      <c r="F199" s="6"/>
      <c r="G199" s="6"/>
      <c r="H199" s="6"/>
      <c r="I199" s="18"/>
      <c r="J199" s="6"/>
      <c r="K199" s="6"/>
      <c r="L199" s="9"/>
      <c r="M199" s="6"/>
      <c r="N199" s="6"/>
      <c r="O199" s="9"/>
      <c r="P199" s="6"/>
      <c r="Q199" s="6"/>
      <c r="R199" s="18"/>
      <c r="S199" s="9"/>
    </row>
    <row r="200" spans="1:19" ht="14.25" customHeight="1">
      <c r="A200" s="29"/>
      <c r="B200" s="6"/>
      <c r="C200" s="6"/>
      <c r="D200" s="6"/>
      <c r="E200" s="6"/>
      <c r="F200" s="6"/>
      <c r="G200" s="6"/>
      <c r="H200" s="6"/>
      <c r="I200" s="18"/>
      <c r="J200" s="6"/>
      <c r="K200" s="6"/>
      <c r="L200" s="9"/>
      <c r="M200" s="6"/>
      <c r="N200" s="6"/>
      <c r="O200" s="9"/>
      <c r="P200" s="6"/>
      <c r="Q200" s="6"/>
      <c r="R200" s="18"/>
      <c r="S200" s="9"/>
    </row>
    <row r="201" spans="1:19" ht="14.25" customHeight="1">
      <c r="A201" s="29"/>
      <c r="B201" s="6"/>
      <c r="C201" s="6"/>
      <c r="D201" s="6"/>
      <c r="E201" s="6"/>
      <c r="F201" s="6"/>
      <c r="G201" s="6"/>
      <c r="H201" s="6"/>
      <c r="I201" s="18"/>
      <c r="J201" s="6"/>
      <c r="K201" s="6"/>
      <c r="L201" s="9"/>
      <c r="M201" s="6"/>
      <c r="N201" s="6"/>
      <c r="O201" s="9"/>
      <c r="P201" s="6"/>
      <c r="Q201" s="6"/>
      <c r="R201" s="18"/>
      <c r="S201" s="9"/>
    </row>
    <row r="202" spans="1:19" ht="14.25" customHeight="1">
      <c r="A202" s="29"/>
      <c r="B202" s="6"/>
      <c r="C202" s="6"/>
      <c r="D202" s="6"/>
      <c r="E202" s="6"/>
      <c r="F202" s="6"/>
      <c r="G202" s="6"/>
      <c r="H202" s="6"/>
      <c r="I202" s="18"/>
      <c r="J202" s="6"/>
      <c r="K202" s="6"/>
      <c r="L202" s="9"/>
      <c r="M202" s="6"/>
      <c r="N202" s="6"/>
      <c r="O202" s="9"/>
      <c r="P202" s="6"/>
      <c r="Q202" s="6"/>
      <c r="R202" s="18"/>
      <c r="S202" s="9"/>
    </row>
    <row r="203" spans="1:19" ht="14.25" customHeight="1">
      <c r="A203" s="29"/>
      <c r="B203" s="6"/>
      <c r="C203" s="6"/>
      <c r="D203" s="6"/>
      <c r="E203" s="6"/>
      <c r="F203" s="6"/>
      <c r="G203" s="6"/>
      <c r="H203" s="6"/>
      <c r="I203" s="18"/>
      <c r="J203" s="6"/>
      <c r="K203" s="6"/>
      <c r="L203" s="9"/>
      <c r="M203" s="6"/>
      <c r="N203" s="6"/>
      <c r="O203" s="9"/>
      <c r="P203" s="6"/>
      <c r="Q203" s="6"/>
      <c r="R203" s="18"/>
      <c r="S203" s="9"/>
    </row>
    <row r="204" spans="1:19" ht="14.25" customHeight="1">
      <c r="A204" s="29"/>
      <c r="B204" s="6"/>
      <c r="C204" s="6"/>
      <c r="D204" s="6"/>
      <c r="E204" s="6"/>
      <c r="F204" s="6"/>
      <c r="G204" s="6"/>
      <c r="H204" s="6"/>
      <c r="I204" s="18"/>
      <c r="J204" s="6"/>
      <c r="K204" s="6"/>
      <c r="L204" s="9"/>
      <c r="M204" s="6"/>
      <c r="N204" s="6"/>
      <c r="O204" s="9"/>
      <c r="P204" s="6"/>
      <c r="Q204" s="6"/>
      <c r="R204" s="18"/>
      <c r="S204" s="9"/>
    </row>
    <row r="205" spans="1:19" ht="14.25" customHeight="1">
      <c r="A205" s="29"/>
      <c r="B205" s="6"/>
      <c r="C205" s="6"/>
      <c r="D205" s="6"/>
      <c r="E205" s="6"/>
      <c r="F205" s="6"/>
      <c r="G205" s="6"/>
      <c r="H205" s="6"/>
      <c r="I205" s="18"/>
      <c r="J205" s="6"/>
      <c r="K205" s="6"/>
      <c r="L205" s="9"/>
      <c r="M205" s="6"/>
      <c r="N205" s="6"/>
      <c r="O205" s="9"/>
      <c r="P205" s="6"/>
      <c r="Q205" s="6"/>
      <c r="R205" s="18"/>
      <c r="S205" s="9"/>
    </row>
    <row r="206" spans="1:19" ht="14.25" customHeight="1">
      <c r="A206" s="29"/>
      <c r="B206" s="6"/>
      <c r="C206" s="6"/>
      <c r="D206" s="6"/>
      <c r="E206" s="6"/>
      <c r="F206" s="6"/>
      <c r="G206" s="6"/>
      <c r="H206" s="6"/>
      <c r="I206" s="18"/>
      <c r="J206" s="6"/>
      <c r="K206" s="6"/>
      <c r="L206" s="9"/>
      <c r="M206" s="6"/>
      <c r="N206" s="6"/>
      <c r="O206" s="9"/>
      <c r="P206" s="6"/>
      <c r="Q206" s="6"/>
      <c r="R206" s="18"/>
      <c r="S206" s="9"/>
    </row>
    <row r="207" spans="1:19" ht="14.25" customHeight="1">
      <c r="A207" s="29"/>
      <c r="B207" s="6"/>
      <c r="C207" s="6"/>
      <c r="D207" s="6"/>
      <c r="E207" s="6"/>
      <c r="F207" s="6"/>
      <c r="G207" s="6"/>
      <c r="H207" s="6"/>
      <c r="I207" s="18"/>
      <c r="J207" s="6"/>
      <c r="K207" s="6"/>
      <c r="L207" s="9"/>
      <c r="M207" s="6"/>
      <c r="N207" s="6"/>
      <c r="O207" s="9"/>
      <c r="P207" s="6"/>
      <c r="Q207" s="6"/>
      <c r="R207" s="18"/>
      <c r="S207" s="9"/>
    </row>
    <row r="208" spans="1:19" ht="14.25" customHeight="1">
      <c r="A208" s="29"/>
      <c r="B208" s="6"/>
      <c r="C208" s="6"/>
      <c r="D208" s="6"/>
      <c r="E208" s="6"/>
      <c r="F208" s="6"/>
      <c r="G208" s="6"/>
      <c r="H208" s="6"/>
      <c r="I208" s="18"/>
      <c r="J208" s="6"/>
      <c r="K208" s="6"/>
      <c r="L208" s="9"/>
      <c r="M208" s="6"/>
      <c r="N208" s="6"/>
      <c r="O208" s="9"/>
      <c r="P208" s="6"/>
      <c r="Q208" s="6"/>
      <c r="R208" s="18"/>
      <c r="S208" s="9"/>
    </row>
    <row r="209" spans="1:19" ht="14.25" customHeight="1">
      <c r="A209" s="29"/>
      <c r="B209" s="6"/>
      <c r="C209" s="6"/>
      <c r="D209" s="6"/>
      <c r="E209" s="6"/>
      <c r="F209" s="6"/>
      <c r="G209" s="6"/>
      <c r="H209" s="6"/>
      <c r="I209" s="18"/>
      <c r="J209" s="6"/>
      <c r="K209" s="6"/>
      <c r="L209" s="9"/>
      <c r="M209" s="6"/>
      <c r="N209" s="6"/>
      <c r="O209" s="9"/>
      <c r="P209" s="6"/>
      <c r="Q209" s="6"/>
      <c r="R209" s="18"/>
      <c r="S209" s="9"/>
    </row>
    <row r="210" spans="1:19" ht="14.25" customHeight="1">
      <c r="A210" s="29"/>
      <c r="B210" s="6"/>
      <c r="C210" s="6"/>
      <c r="D210" s="6"/>
      <c r="E210" s="6"/>
      <c r="F210" s="6"/>
      <c r="G210" s="6"/>
      <c r="H210" s="6"/>
      <c r="I210" s="18"/>
      <c r="J210" s="6"/>
      <c r="K210" s="6"/>
      <c r="L210" s="9"/>
      <c r="M210" s="6"/>
      <c r="N210" s="6"/>
      <c r="O210" s="9"/>
      <c r="P210" s="6"/>
      <c r="Q210" s="6"/>
      <c r="R210" s="18"/>
      <c r="S210" s="9"/>
    </row>
    <row r="211" spans="1:19" ht="14.25" customHeight="1">
      <c r="A211" s="29"/>
      <c r="B211" s="6"/>
      <c r="C211" s="6"/>
      <c r="D211" s="6"/>
      <c r="E211" s="6"/>
      <c r="F211" s="6"/>
      <c r="G211" s="6"/>
      <c r="H211" s="6"/>
      <c r="I211" s="18"/>
      <c r="J211" s="6"/>
      <c r="K211" s="6"/>
      <c r="L211" s="9"/>
      <c r="M211" s="6"/>
      <c r="N211" s="6"/>
      <c r="O211" s="9"/>
      <c r="P211" s="6"/>
      <c r="Q211" s="6"/>
      <c r="R211" s="18"/>
      <c r="S211" s="9"/>
    </row>
    <row r="212" spans="1:19" ht="14.25" customHeight="1">
      <c r="A212" s="29"/>
      <c r="B212" s="6"/>
      <c r="C212" s="6"/>
      <c r="D212" s="6"/>
      <c r="E212" s="6"/>
      <c r="F212" s="6"/>
      <c r="G212" s="6"/>
      <c r="H212" s="6"/>
      <c r="I212" s="18"/>
      <c r="J212" s="6"/>
      <c r="K212" s="6"/>
      <c r="L212" s="9"/>
      <c r="M212" s="6"/>
      <c r="N212" s="6"/>
      <c r="O212" s="9"/>
      <c r="P212" s="6"/>
      <c r="Q212" s="6"/>
      <c r="R212" s="18"/>
      <c r="S212" s="9"/>
    </row>
    <row r="213" spans="1:19" ht="14.25" customHeight="1">
      <c r="A213" s="29"/>
      <c r="B213" s="6"/>
      <c r="C213" s="6"/>
      <c r="D213" s="6"/>
      <c r="E213" s="6"/>
      <c r="F213" s="6"/>
      <c r="G213" s="6"/>
      <c r="H213" s="6"/>
      <c r="I213" s="18"/>
      <c r="J213" s="6"/>
      <c r="K213" s="6"/>
      <c r="L213" s="9"/>
      <c r="M213" s="6"/>
      <c r="N213" s="6"/>
      <c r="O213" s="9"/>
      <c r="P213" s="6"/>
      <c r="Q213" s="6"/>
      <c r="R213" s="18"/>
      <c r="S213" s="9"/>
    </row>
    <row r="214" spans="1:19" ht="14.25" customHeight="1">
      <c r="A214" s="29"/>
      <c r="B214" s="6"/>
      <c r="C214" s="6"/>
      <c r="D214" s="6"/>
      <c r="E214" s="6"/>
      <c r="F214" s="6"/>
      <c r="G214" s="6"/>
      <c r="H214" s="6"/>
      <c r="I214" s="18"/>
      <c r="J214" s="6"/>
      <c r="K214" s="6"/>
      <c r="L214" s="9"/>
      <c r="M214" s="6"/>
      <c r="N214" s="6"/>
      <c r="O214" s="9"/>
      <c r="P214" s="6"/>
      <c r="Q214" s="6"/>
      <c r="R214" s="18"/>
      <c r="S214" s="9"/>
    </row>
    <row r="215" spans="1:19" ht="14.25" customHeight="1">
      <c r="A215" s="29"/>
      <c r="B215" s="6"/>
      <c r="C215" s="6"/>
      <c r="D215" s="6"/>
      <c r="E215" s="6"/>
      <c r="F215" s="6"/>
      <c r="G215" s="6"/>
      <c r="H215" s="6"/>
      <c r="I215" s="18"/>
      <c r="J215" s="6"/>
      <c r="K215" s="6"/>
      <c r="L215" s="9"/>
      <c r="M215" s="6"/>
      <c r="N215" s="6"/>
      <c r="O215" s="9"/>
      <c r="P215" s="6"/>
      <c r="Q215" s="6"/>
      <c r="R215" s="18"/>
      <c r="S215" s="9"/>
    </row>
    <row r="216" spans="1:19" ht="14.25" customHeight="1">
      <c r="A216" s="29"/>
      <c r="B216" s="6"/>
      <c r="C216" s="6"/>
      <c r="D216" s="6"/>
      <c r="E216" s="6"/>
      <c r="F216" s="6"/>
      <c r="G216" s="6"/>
      <c r="H216" s="6"/>
      <c r="I216" s="18"/>
      <c r="J216" s="6"/>
      <c r="K216" s="6"/>
      <c r="L216" s="9"/>
      <c r="M216" s="6"/>
      <c r="N216" s="6"/>
      <c r="O216" s="9"/>
      <c r="P216" s="6"/>
      <c r="Q216" s="6"/>
      <c r="R216" s="18"/>
      <c r="S216" s="9"/>
    </row>
    <row r="217" spans="1:19" ht="14.25" customHeight="1">
      <c r="A217" s="29"/>
      <c r="B217" s="6"/>
      <c r="C217" s="6"/>
      <c r="D217" s="6"/>
      <c r="E217" s="6"/>
      <c r="F217" s="6"/>
      <c r="G217" s="6"/>
      <c r="H217" s="6"/>
      <c r="I217" s="18"/>
      <c r="J217" s="6"/>
      <c r="K217" s="6"/>
      <c r="L217" s="9"/>
      <c r="M217" s="6"/>
      <c r="N217" s="6"/>
      <c r="O217" s="9"/>
      <c r="P217" s="6"/>
      <c r="Q217" s="6"/>
      <c r="R217" s="18"/>
      <c r="S217" s="9"/>
    </row>
    <row r="218" spans="1:19" ht="14.25" customHeight="1">
      <c r="A218" s="29"/>
      <c r="B218" s="6"/>
      <c r="C218" s="6"/>
      <c r="D218" s="6"/>
      <c r="E218" s="6"/>
      <c r="F218" s="6"/>
      <c r="G218" s="6"/>
      <c r="H218" s="6"/>
      <c r="I218" s="18"/>
      <c r="J218" s="6"/>
      <c r="K218" s="6"/>
      <c r="L218" s="9"/>
      <c r="M218" s="6"/>
      <c r="N218" s="6"/>
      <c r="O218" s="9"/>
      <c r="P218" s="6"/>
      <c r="Q218" s="6"/>
      <c r="R218" s="18"/>
      <c r="S218" s="9"/>
    </row>
    <row r="219" spans="1:19" ht="14.25" customHeight="1">
      <c r="A219" s="29"/>
      <c r="B219" s="6"/>
      <c r="C219" s="6"/>
      <c r="D219" s="6"/>
      <c r="E219" s="6"/>
      <c r="F219" s="6"/>
      <c r="G219" s="6"/>
      <c r="H219" s="6"/>
      <c r="I219" s="18"/>
      <c r="J219" s="6"/>
      <c r="K219" s="6"/>
      <c r="L219" s="9"/>
      <c r="M219" s="6"/>
      <c r="N219" s="6"/>
      <c r="O219" s="9"/>
      <c r="P219" s="6"/>
      <c r="Q219" s="6"/>
      <c r="R219" s="18"/>
      <c r="S219" s="9"/>
    </row>
    <row r="220" spans="1:19" ht="14.25" customHeight="1">
      <c r="A220" s="29"/>
      <c r="B220" s="6"/>
      <c r="C220" s="6"/>
      <c r="D220" s="6"/>
      <c r="E220" s="6"/>
      <c r="F220" s="6"/>
      <c r="G220" s="6"/>
      <c r="H220" s="6"/>
      <c r="I220" s="18"/>
      <c r="J220" s="6"/>
      <c r="K220" s="6"/>
      <c r="L220" s="9"/>
      <c r="M220" s="6"/>
      <c r="N220" s="6"/>
      <c r="O220" s="9"/>
      <c r="P220" s="6"/>
      <c r="Q220" s="6"/>
      <c r="R220" s="18"/>
      <c r="S220" s="9"/>
    </row>
    <row r="221" spans="1:19" ht="14.25" customHeight="1">
      <c r="A221" s="29"/>
      <c r="B221" s="6"/>
      <c r="C221" s="6"/>
      <c r="D221" s="6"/>
      <c r="E221" s="6"/>
      <c r="F221" s="6"/>
      <c r="G221" s="6"/>
      <c r="H221" s="6"/>
      <c r="I221" s="18"/>
      <c r="J221" s="6"/>
      <c r="K221" s="6"/>
      <c r="L221" s="9"/>
      <c r="M221" s="6"/>
      <c r="N221" s="6"/>
      <c r="O221" s="9"/>
      <c r="P221" s="6"/>
      <c r="Q221" s="6"/>
      <c r="R221" s="18"/>
      <c r="S221" s="9"/>
    </row>
    <row r="222" spans="1:19" ht="14.25" customHeight="1">
      <c r="A222" s="29"/>
      <c r="B222" s="6"/>
      <c r="C222" s="6"/>
      <c r="D222" s="6"/>
      <c r="E222" s="6"/>
      <c r="F222" s="6"/>
      <c r="G222" s="6"/>
      <c r="H222" s="6"/>
      <c r="I222" s="18"/>
      <c r="J222" s="6"/>
      <c r="K222" s="6"/>
      <c r="L222" s="9"/>
      <c r="M222" s="6"/>
      <c r="N222" s="6"/>
      <c r="O222" s="9"/>
      <c r="P222" s="6"/>
      <c r="Q222" s="6"/>
      <c r="R222" s="18"/>
      <c r="S222" s="9"/>
    </row>
    <row r="223" spans="1:19" ht="14.25" customHeight="1">
      <c r="A223" s="29"/>
      <c r="B223" s="6"/>
      <c r="C223" s="6"/>
      <c r="D223" s="6"/>
      <c r="E223" s="6"/>
      <c r="F223" s="6"/>
      <c r="G223" s="6"/>
      <c r="H223" s="6"/>
      <c r="I223" s="18"/>
      <c r="J223" s="6"/>
      <c r="K223" s="6"/>
      <c r="L223" s="9"/>
      <c r="M223" s="6"/>
      <c r="N223" s="6"/>
      <c r="O223" s="9"/>
      <c r="P223" s="6"/>
      <c r="Q223" s="6"/>
      <c r="R223" s="18"/>
      <c r="S223" s="9"/>
    </row>
    <row r="224" spans="1:19" ht="14.25" customHeight="1">
      <c r="A224" s="29"/>
      <c r="B224" s="6"/>
      <c r="C224" s="6"/>
      <c r="D224" s="6"/>
      <c r="E224" s="6"/>
      <c r="F224" s="6"/>
      <c r="G224" s="6"/>
      <c r="H224" s="6"/>
      <c r="I224" s="18"/>
      <c r="J224" s="6"/>
      <c r="K224" s="6"/>
      <c r="L224" s="9"/>
      <c r="M224" s="6"/>
      <c r="N224" s="6"/>
      <c r="O224" s="9"/>
      <c r="P224" s="6"/>
      <c r="Q224" s="6"/>
      <c r="R224" s="18"/>
      <c r="S224" s="9"/>
    </row>
    <row r="225" spans="1:19" ht="14.25" customHeight="1">
      <c r="A225" s="29"/>
      <c r="B225" s="6"/>
      <c r="C225" s="6"/>
      <c r="D225" s="6"/>
      <c r="E225" s="6"/>
      <c r="F225" s="6"/>
      <c r="G225" s="6"/>
      <c r="H225" s="6"/>
      <c r="I225" s="18"/>
      <c r="J225" s="6"/>
      <c r="K225" s="6"/>
      <c r="L225" s="9"/>
      <c r="M225" s="6"/>
      <c r="N225" s="6"/>
      <c r="O225" s="9"/>
      <c r="P225" s="6"/>
      <c r="Q225" s="6"/>
      <c r="R225" s="18"/>
      <c r="S225" s="9"/>
    </row>
    <row r="226" spans="1:19" ht="14.25" customHeight="1">
      <c r="A226" s="29"/>
      <c r="B226" s="6"/>
      <c r="C226" s="6"/>
      <c r="D226" s="6"/>
      <c r="E226" s="6"/>
      <c r="F226" s="6"/>
      <c r="G226" s="6"/>
      <c r="H226" s="6"/>
      <c r="I226" s="18"/>
      <c r="J226" s="6"/>
      <c r="K226" s="6"/>
      <c r="L226" s="9"/>
      <c r="M226" s="6"/>
      <c r="N226" s="6"/>
      <c r="O226" s="9"/>
      <c r="P226" s="6"/>
      <c r="Q226" s="6"/>
      <c r="R226" s="18"/>
      <c r="S226" s="9"/>
    </row>
    <row r="227" spans="1:19" ht="14.25" customHeight="1">
      <c r="A227" s="29"/>
      <c r="B227" s="6"/>
      <c r="C227" s="6"/>
      <c r="D227" s="6"/>
      <c r="E227" s="6"/>
      <c r="F227" s="6"/>
      <c r="G227" s="6"/>
      <c r="H227" s="6"/>
      <c r="I227" s="18"/>
      <c r="J227" s="6"/>
      <c r="K227" s="6"/>
      <c r="L227" s="9"/>
      <c r="M227" s="6"/>
      <c r="N227" s="6"/>
      <c r="O227" s="9"/>
      <c r="P227" s="6"/>
      <c r="Q227" s="6"/>
      <c r="R227" s="18"/>
      <c r="S227" s="9"/>
    </row>
    <row r="228" spans="1:19" ht="14.25" customHeight="1">
      <c r="A228" s="29"/>
      <c r="B228" s="6"/>
      <c r="C228" s="6"/>
      <c r="D228" s="6"/>
      <c r="E228" s="6"/>
      <c r="F228" s="6"/>
      <c r="G228" s="6"/>
      <c r="H228" s="6"/>
      <c r="I228" s="18"/>
      <c r="J228" s="6"/>
      <c r="K228" s="6"/>
      <c r="L228" s="9"/>
      <c r="M228" s="6"/>
      <c r="N228" s="6"/>
      <c r="O228" s="9"/>
      <c r="P228" s="6"/>
      <c r="Q228" s="6"/>
      <c r="R228" s="18"/>
      <c r="S228" s="9"/>
    </row>
    <row r="229" spans="1:19" ht="14.25" customHeight="1">
      <c r="A229" s="29"/>
      <c r="B229" s="6"/>
      <c r="C229" s="6"/>
      <c r="D229" s="6"/>
      <c r="E229" s="6"/>
      <c r="F229" s="6"/>
      <c r="G229" s="6"/>
      <c r="H229" s="6"/>
      <c r="I229" s="18"/>
      <c r="J229" s="6"/>
      <c r="K229" s="6"/>
      <c r="L229" s="9"/>
      <c r="M229" s="6"/>
      <c r="N229" s="6"/>
      <c r="O229" s="9"/>
      <c r="P229" s="6"/>
      <c r="Q229" s="6"/>
      <c r="R229" s="18"/>
      <c r="S229" s="9"/>
    </row>
    <row r="230" spans="1:19" ht="14.25" customHeight="1">
      <c r="A230" s="29"/>
      <c r="B230" s="6"/>
      <c r="C230" s="6"/>
      <c r="D230" s="6"/>
      <c r="E230" s="6"/>
      <c r="F230" s="6"/>
      <c r="G230" s="6"/>
      <c r="H230" s="6"/>
      <c r="I230" s="18"/>
      <c r="J230" s="6"/>
      <c r="K230" s="6"/>
      <c r="L230" s="9"/>
      <c r="M230" s="6"/>
      <c r="N230" s="6"/>
      <c r="O230" s="9"/>
      <c r="P230" s="6"/>
      <c r="Q230" s="6"/>
      <c r="R230" s="18"/>
      <c r="S230" s="9"/>
    </row>
    <row r="231" spans="1:19" ht="14.25" customHeight="1">
      <c r="A231" s="29"/>
      <c r="B231" s="6"/>
      <c r="C231" s="6"/>
      <c r="D231" s="6"/>
      <c r="E231" s="6"/>
      <c r="F231" s="6"/>
      <c r="G231" s="6"/>
      <c r="H231" s="6"/>
      <c r="I231" s="18"/>
      <c r="J231" s="6"/>
      <c r="K231" s="6"/>
      <c r="L231" s="9"/>
      <c r="M231" s="6"/>
      <c r="N231" s="6"/>
      <c r="O231" s="9"/>
      <c r="P231" s="6"/>
      <c r="Q231" s="6"/>
      <c r="R231" s="18"/>
      <c r="S231" s="9"/>
    </row>
    <row r="232" spans="1:19" ht="14.25" customHeight="1">
      <c r="A232" s="29"/>
      <c r="B232" s="6"/>
      <c r="C232" s="6"/>
      <c r="D232" s="6"/>
      <c r="E232" s="6"/>
      <c r="F232" s="6"/>
      <c r="G232" s="6"/>
      <c r="H232" s="6"/>
      <c r="I232" s="18"/>
      <c r="J232" s="6"/>
      <c r="K232" s="6"/>
      <c r="L232" s="9"/>
      <c r="M232" s="6"/>
      <c r="N232" s="6"/>
      <c r="O232" s="9"/>
      <c r="P232" s="6"/>
      <c r="Q232" s="6"/>
      <c r="R232" s="18"/>
      <c r="S232" s="9"/>
    </row>
    <row r="233" spans="1:19" ht="14.25" customHeight="1">
      <c r="A233" s="29"/>
      <c r="B233" s="6"/>
      <c r="C233" s="6"/>
      <c r="D233" s="6"/>
      <c r="E233" s="6"/>
      <c r="F233" s="6"/>
      <c r="G233" s="6"/>
      <c r="H233" s="6"/>
      <c r="I233" s="18"/>
      <c r="J233" s="6"/>
      <c r="K233" s="6"/>
      <c r="L233" s="9"/>
      <c r="M233" s="6"/>
      <c r="N233" s="6"/>
      <c r="O233" s="9"/>
      <c r="P233" s="6"/>
      <c r="Q233" s="6"/>
      <c r="R233" s="18"/>
      <c r="S233" s="9"/>
    </row>
    <row r="234" spans="1:19" ht="14.25" customHeight="1">
      <c r="A234" s="29"/>
      <c r="B234" s="6"/>
      <c r="C234" s="6"/>
      <c r="D234" s="6"/>
      <c r="E234" s="6"/>
      <c r="F234" s="6"/>
      <c r="G234" s="6"/>
      <c r="H234" s="6"/>
      <c r="I234" s="18"/>
      <c r="J234" s="6"/>
      <c r="K234" s="6"/>
      <c r="L234" s="9"/>
      <c r="M234" s="6"/>
      <c r="N234" s="6"/>
      <c r="O234" s="9"/>
      <c r="P234" s="6"/>
      <c r="Q234" s="6"/>
      <c r="R234" s="18"/>
      <c r="S234" s="9"/>
    </row>
    <row r="235" spans="1:19" ht="14.25" customHeight="1">
      <c r="A235" s="29"/>
      <c r="B235" s="6"/>
      <c r="C235" s="6"/>
      <c r="D235" s="6"/>
      <c r="E235" s="6"/>
      <c r="F235" s="6"/>
      <c r="G235" s="6"/>
      <c r="H235" s="6"/>
      <c r="I235" s="18"/>
      <c r="J235" s="6"/>
      <c r="K235" s="6"/>
      <c r="L235" s="9"/>
      <c r="M235" s="6"/>
      <c r="N235" s="6"/>
      <c r="O235" s="9"/>
      <c r="P235" s="6"/>
      <c r="Q235" s="6"/>
      <c r="R235" s="18"/>
      <c r="S235" s="9"/>
    </row>
    <row r="236" spans="1:19" ht="14.25" customHeight="1">
      <c r="A236" s="29"/>
      <c r="B236" s="6"/>
      <c r="C236" s="6"/>
      <c r="D236" s="6"/>
      <c r="E236" s="6"/>
      <c r="F236" s="6"/>
      <c r="G236" s="6"/>
      <c r="H236" s="6"/>
      <c r="I236" s="18"/>
      <c r="J236" s="6"/>
      <c r="K236" s="6"/>
      <c r="L236" s="9"/>
      <c r="M236" s="6"/>
      <c r="N236" s="6"/>
      <c r="O236" s="9"/>
      <c r="P236" s="6"/>
      <c r="Q236" s="6"/>
      <c r="R236" s="18"/>
      <c r="S236" s="9"/>
    </row>
    <row r="237" spans="1:19" ht="14.25" customHeight="1">
      <c r="A237" s="29"/>
      <c r="B237" s="6"/>
      <c r="C237" s="6"/>
      <c r="D237" s="6"/>
      <c r="E237" s="6"/>
      <c r="F237" s="6"/>
      <c r="G237" s="6"/>
      <c r="H237" s="6"/>
      <c r="I237" s="18"/>
      <c r="J237" s="6"/>
      <c r="K237" s="6"/>
      <c r="L237" s="9"/>
      <c r="M237" s="6"/>
      <c r="N237" s="6"/>
      <c r="O237" s="9"/>
      <c r="P237" s="6"/>
      <c r="Q237" s="6"/>
      <c r="R237" s="18"/>
      <c r="S237" s="9"/>
    </row>
    <row r="238" spans="1:19" ht="14.25" customHeight="1">
      <c r="A238" s="29"/>
      <c r="B238" s="6"/>
      <c r="C238" s="6"/>
      <c r="D238" s="6"/>
      <c r="E238" s="6"/>
      <c r="F238" s="6"/>
      <c r="G238" s="6"/>
      <c r="H238" s="6"/>
      <c r="I238" s="18"/>
      <c r="J238" s="6"/>
      <c r="K238" s="6"/>
      <c r="L238" s="9"/>
      <c r="M238" s="6"/>
      <c r="N238" s="6"/>
      <c r="O238" s="9"/>
      <c r="P238" s="6"/>
      <c r="Q238" s="6"/>
      <c r="R238" s="18"/>
      <c r="S238" s="9"/>
    </row>
    <row r="239" spans="1:19" ht="14.25" customHeight="1">
      <c r="A239" s="29"/>
      <c r="B239" s="6"/>
      <c r="C239" s="6"/>
      <c r="D239" s="6"/>
      <c r="E239" s="6"/>
      <c r="F239" s="6"/>
      <c r="G239" s="6"/>
      <c r="H239" s="6"/>
      <c r="I239" s="18"/>
      <c r="J239" s="6"/>
      <c r="K239" s="6"/>
      <c r="L239" s="9"/>
      <c r="M239" s="6"/>
      <c r="N239" s="6"/>
      <c r="O239" s="9"/>
      <c r="P239" s="6"/>
      <c r="Q239" s="6"/>
      <c r="R239" s="18"/>
      <c r="S239" s="9"/>
    </row>
    <row r="240" spans="1:19" ht="14.25" customHeight="1">
      <c r="A240" s="29"/>
      <c r="B240" s="6"/>
      <c r="C240" s="6"/>
      <c r="D240" s="6"/>
      <c r="E240" s="6"/>
      <c r="F240" s="6"/>
      <c r="G240" s="6"/>
      <c r="H240" s="6"/>
      <c r="I240" s="18"/>
      <c r="J240" s="6"/>
      <c r="K240" s="6"/>
      <c r="L240" s="9"/>
      <c r="M240" s="6"/>
      <c r="N240" s="6"/>
      <c r="O240" s="9"/>
      <c r="P240" s="6"/>
      <c r="Q240" s="6"/>
      <c r="R240" s="18"/>
      <c r="S240" s="9"/>
    </row>
    <row r="241" spans="1:19" ht="14.25" customHeight="1">
      <c r="A241" s="29"/>
      <c r="B241" s="6"/>
      <c r="C241" s="6"/>
      <c r="D241" s="6"/>
      <c r="E241" s="6"/>
      <c r="F241" s="6"/>
      <c r="G241" s="6"/>
      <c r="H241" s="6"/>
      <c r="I241" s="18"/>
      <c r="J241" s="6"/>
      <c r="K241" s="6"/>
      <c r="L241" s="9"/>
      <c r="M241" s="6"/>
      <c r="N241" s="6"/>
      <c r="O241" s="9"/>
      <c r="P241" s="6"/>
      <c r="Q241" s="6"/>
      <c r="R241" s="18"/>
      <c r="S241" s="9"/>
    </row>
    <row r="242" spans="1:19" ht="14.25" customHeight="1">
      <c r="A242" s="29"/>
      <c r="B242" s="6"/>
      <c r="C242" s="6"/>
      <c r="D242" s="6"/>
      <c r="E242" s="6"/>
      <c r="F242" s="6"/>
      <c r="G242" s="6"/>
      <c r="H242" s="6"/>
      <c r="I242" s="18"/>
      <c r="J242" s="6"/>
      <c r="K242" s="6"/>
      <c r="L242" s="9"/>
      <c r="M242" s="6"/>
      <c r="N242" s="6"/>
      <c r="O242" s="9"/>
      <c r="P242" s="6"/>
      <c r="Q242" s="6"/>
      <c r="R242" s="18"/>
      <c r="S242" s="9"/>
    </row>
    <row r="243" spans="1:19" ht="14.25" customHeight="1">
      <c r="A243" s="29"/>
      <c r="B243" s="6"/>
      <c r="C243" s="6"/>
      <c r="D243" s="6"/>
      <c r="E243" s="6"/>
      <c r="F243" s="6"/>
      <c r="G243" s="6"/>
      <c r="H243" s="6"/>
      <c r="I243" s="18"/>
      <c r="J243" s="6"/>
      <c r="K243" s="6"/>
      <c r="L243" s="9"/>
      <c r="M243" s="6"/>
      <c r="N243" s="6"/>
      <c r="O243" s="9"/>
      <c r="P243" s="6"/>
      <c r="Q243" s="6"/>
      <c r="R243" s="18"/>
      <c r="S243" s="9"/>
    </row>
    <row r="244" spans="1:19" ht="14.25" customHeight="1">
      <c r="A244" s="29"/>
      <c r="B244" s="6"/>
      <c r="C244" s="6"/>
      <c r="D244" s="6"/>
      <c r="E244" s="6"/>
      <c r="F244" s="6"/>
      <c r="G244" s="6"/>
      <c r="H244" s="6"/>
      <c r="I244" s="18"/>
      <c r="J244" s="6"/>
      <c r="K244" s="6"/>
      <c r="L244" s="9"/>
      <c r="M244" s="6"/>
      <c r="N244" s="6"/>
      <c r="O244" s="9"/>
      <c r="P244" s="6"/>
      <c r="Q244" s="6"/>
      <c r="R244" s="18"/>
      <c r="S244" s="9"/>
    </row>
    <row r="245" spans="1:19" ht="14.25" customHeight="1">
      <c r="A245" s="29"/>
      <c r="B245" s="6"/>
      <c r="C245" s="6"/>
      <c r="D245" s="6"/>
      <c r="E245" s="6"/>
      <c r="F245" s="6"/>
      <c r="G245" s="6"/>
      <c r="H245" s="6"/>
      <c r="I245" s="18"/>
      <c r="J245" s="6"/>
      <c r="K245" s="6"/>
      <c r="L245" s="9"/>
      <c r="M245" s="6"/>
      <c r="N245" s="6"/>
      <c r="O245" s="9"/>
      <c r="P245" s="6"/>
      <c r="Q245" s="6"/>
      <c r="R245" s="18"/>
      <c r="S245" s="9"/>
    </row>
    <row r="246" spans="1:19" ht="14.25" customHeight="1">
      <c r="A246" s="29"/>
      <c r="B246" s="6"/>
      <c r="C246" s="6"/>
      <c r="D246" s="6"/>
      <c r="E246" s="6"/>
      <c r="F246" s="6"/>
      <c r="G246" s="6"/>
      <c r="H246" s="6"/>
      <c r="I246" s="18"/>
      <c r="J246" s="6"/>
      <c r="K246" s="6"/>
      <c r="L246" s="9"/>
      <c r="M246" s="6"/>
      <c r="N246" s="6"/>
      <c r="O246" s="9"/>
      <c r="P246" s="6"/>
      <c r="Q246" s="6"/>
      <c r="R246" s="18"/>
      <c r="S246" s="9"/>
    </row>
    <row r="247" spans="1:19" ht="14.25" customHeight="1">
      <c r="A247" s="29"/>
      <c r="B247" s="6"/>
      <c r="C247" s="6"/>
      <c r="D247" s="6"/>
      <c r="E247" s="6"/>
      <c r="F247" s="6"/>
      <c r="G247" s="6"/>
      <c r="H247" s="6"/>
      <c r="I247" s="18"/>
      <c r="J247" s="6"/>
      <c r="K247" s="6"/>
      <c r="L247" s="9"/>
      <c r="M247" s="6"/>
      <c r="N247" s="6"/>
      <c r="O247" s="9"/>
      <c r="P247" s="6"/>
      <c r="Q247" s="6"/>
      <c r="R247" s="18"/>
      <c r="S247" s="9"/>
    </row>
    <row r="248" spans="1:19" ht="14.25" customHeight="1">
      <c r="A248" s="29"/>
      <c r="B248" s="6"/>
      <c r="C248" s="6"/>
      <c r="D248" s="6"/>
      <c r="E248" s="6"/>
      <c r="F248" s="6"/>
      <c r="G248" s="6"/>
      <c r="H248" s="6"/>
      <c r="I248" s="18"/>
      <c r="J248" s="6"/>
      <c r="K248" s="6"/>
      <c r="L248" s="9"/>
      <c r="M248" s="6"/>
      <c r="N248" s="6"/>
      <c r="O248" s="9"/>
      <c r="P248" s="6"/>
      <c r="Q248" s="6"/>
      <c r="R248" s="18"/>
      <c r="S248" s="9"/>
    </row>
    <row r="249" spans="1:19" ht="14.25" customHeight="1">
      <c r="A249" s="29"/>
      <c r="B249" s="6"/>
      <c r="C249" s="6"/>
      <c r="D249" s="6"/>
      <c r="E249" s="6"/>
      <c r="F249" s="6"/>
      <c r="G249" s="6"/>
      <c r="H249" s="6"/>
      <c r="I249" s="18"/>
      <c r="J249" s="6"/>
      <c r="K249" s="6"/>
      <c r="L249" s="9"/>
      <c r="M249" s="6"/>
      <c r="N249" s="6"/>
      <c r="O249" s="9"/>
      <c r="P249" s="6"/>
      <c r="Q249" s="6"/>
      <c r="R249" s="18"/>
      <c r="S249" s="9"/>
    </row>
    <row r="250" spans="1:19" ht="14.25" customHeight="1">
      <c r="A250" s="29"/>
      <c r="B250" s="6"/>
      <c r="C250" s="6"/>
      <c r="D250" s="6"/>
      <c r="E250" s="6"/>
      <c r="F250" s="6"/>
      <c r="G250" s="6"/>
      <c r="H250" s="6"/>
      <c r="I250" s="18"/>
      <c r="J250" s="6"/>
      <c r="K250" s="6"/>
      <c r="L250" s="9"/>
      <c r="M250" s="6"/>
      <c r="N250" s="6"/>
      <c r="O250" s="9"/>
      <c r="P250" s="6"/>
      <c r="Q250" s="6"/>
      <c r="R250" s="18"/>
      <c r="S250" s="9"/>
    </row>
    <row r="251" spans="1:19" ht="14.25" customHeight="1">
      <c r="A251" s="29"/>
      <c r="B251" s="6"/>
      <c r="C251" s="6"/>
      <c r="D251" s="6"/>
      <c r="E251" s="6"/>
      <c r="F251" s="6"/>
      <c r="G251" s="6"/>
      <c r="H251" s="6"/>
      <c r="I251" s="18"/>
      <c r="J251" s="6"/>
      <c r="K251" s="6"/>
      <c r="L251" s="9"/>
      <c r="M251" s="6"/>
      <c r="N251" s="6"/>
      <c r="O251" s="9"/>
      <c r="P251" s="6"/>
      <c r="Q251" s="6"/>
      <c r="R251" s="18"/>
      <c r="S251" s="9"/>
    </row>
    <row r="252" spans="1:19" ht="14.25" customHeight="1">
      <c r="A252" s="29"/>
      <c r="B252" s="6"/>
      <c r="C252" s="6"/>
      <c r="D252" s="6"/>
      <c r="E252" s="6"/>
      <c r="F252" s="6"/>
      <c r="G252" s="6"/>
      <c r="H252" s="6"/>
      <c r="I252" s="18"/>
      <c r="J252" s="6"/>
      <c r="K252" s="6"/>
      <c r="L252" s="9"/>
      <c r="M252" s="6"/>
      <c r="N252" s="6"/>
      <c r="O252" s="9"/>
      <c r="P252" s="6"/>
      <c r="Q252" s="6"/>
      <c r="R252" s="18"/>
      <c r="S252" s="9"/>
    </row>
    <row r="253" spans="1:19" ht="14.25" customHeight="1">
      <c r="A253" s="29"/>
      <c r="B253" s="6"/>
      <c r="C253" s="6"/>
      <c r="D253" s="6"/>
      <c r="E253" s="6"/>
      <c r="F253" s="6"/>
      <c r="G253" s="6"/>
      <c r="H253" s="6"/>
      <c r="I253" s="18"/>
      <c r="J253" s="6"/>
      <c r="K253" s="6"/>
      <c r="L253" s="9"/>
      <c r="M253" s="6"/>
      <c r="N253" s="6"/>
      <c r="O253" s="9"/>
      <c r="P253" s="6"/>
      <c r="Q253" s="6"/>
      <c r="R253" s="18"/>
      <c r="S253" s="9"/>
    </row>
    <row r="254" spans="1:19" ht="14.25" customHeight="1">
      <c r="A254" s="29"/>
      <c r="B254" s="6"/>
      <c r="C254" s="6"/>
      <c r="D254" s="6"/>
      <c r="E254" s="6"/>
      <c r="F254" s="6"/>
      <c r="G254" s="6"/>
      <c r="H254" s="6"/>
      <c r="I254" s="18"/>
      <c r="J254" s="6"/>
      <c r="K254" s="6"/>
      <c r="L254" s="9"/>
      <c r="M254" s="6"/>
      <c r="N254" s="6"/>
      <c r="O254" s="9"/>
      <c r="P254" s="6"/>
      <c r="Q254" s="6"/>
      <c r="R254" s="18"/>
      <c r="S254" s="9"/>
    </row>
    <row r="255" spans="1:19" ht="14.25" customHeight="1">
      <c r="A255" s="29"/>
      <c r="B255" s="6"/>
      <c r="C255" s="6"/>
      <c r="D255" s="6"/>
      <c r="E255" s="6"/>
      <c r="F255" s="6"/>
      <c r="G255" s="6"/>
      <c r="H255" s="6"/>
      <c r="I255" s="18"/>
      <c r="J255" s="6"/>
      <c r="K255" s="6"/>
      <c r="L255" s="9"/>
      <c r="M255" s="6"/>
      <c r="N255" s="6"/>
      <c r="O255" s="9"/>
      <c r="P255" s="6"/>
      <c r="Q255" s="6"/>
      <c r="R255" s="18"/>
      <c r="S255" s="9"/>
    </row>
    <row r="256" spans="1:19" ht="14.25" customHeight="1">
      <c r="A256" s="29"/>
      <c r="B256" s="6"/>
      <c r="C256" s="6"/>
      <c r="D256" s="6"/>
      <c r="E256" s="6"/>
      <c r="F256" s="6"/>
      <c r="G256" s="6"/>
      <c r="H256" s="6"/>
      <c r="I256" s="18"/>
      <c r="J256" s="6"/>
      <c r="K256" s="6"/>
      <c r="L256" s="9"/>
      <c r="M256" s="6"/>
      <c r="N256" s="6"/>
      <c r="O256" s="9"/>
      <c r="P256" s="6"/>
      <c r="Q256" s="6"/>
      <c r="R256" s="18"/>
      <c r="S256" s="9"/>
    </row>
    <row r="257" spans="1:19" ht="14.25" customHeight="1">
      <c r="A257" s="29"/>
      <c r="B257" s="6"/>
      <c r="C257" s="6"/>
      <c r="D257" s="6"/>
      <c r="E257" s="6"/>
      <c r="F257" s="6"/>
      <c r="G257" s="6"/>
      <c r="H257" s="6"/>
      <c r="I257" s="18"/>
      <c r="J257" s="6"/>
      <c r="K257" s="6"/>
      <c r="L257" s="9"/>
      <c r="M257" s="6"/>
      <c r="N257" s="6"/>
      <c r="O257" s="9"/>
      <c r="P257" s="6"/>
      <c r="Q257" s="6"/>
      <c r="R257" s="18"/>
      <c r="S257" s="9"/>
    </row>
    <row r="258" spans="1:19" ht="14.25" customHeight="1">
      <c r="A258" s="29"/>
      <c r="B258" s="6"/>
      <c r="C258" s="6"/>
      <c r="D258" s="6"/>
      <c r="E258" s="6"/>
      <c r="F258" s="6"/>
      <c r="G258" s="6"/>
      <c r="H258" s="6"/>
      <c r="I258" s="18"/>
      <c r="J258" s="6"/>
      <c r="K258" s="6"/>
      <c r="L258" s="9"/>
      <c r="M258" s="6"/>
      <c r="N258" s="6"/>
      <c r="O258" s="9"/>
      <c r="P258" s="6"/>
      <c r="Q258" s="6"/>
      <c r="R258" s="18"/>
      <c r="S258" s="9"/>
    </row>
    <row r="259" spans="1:19" ht="14.25" customHeight="1">
      <c r="A259" s="29"/>
      <c r="B259" s="6"/>
      <c r="C259" s="6"/>
      <c r="D259" s="6"/>
      <c r="E259" s="6"/>
      <c r="F259" s="6"/>
      <c r="G259" s="6"/>
      <c r="H259" s="6"/>
      <c r="I259" s="18"/>
      <c r="J259" s="6"/>
      <c r="K259" s="6"/>
      <c r="L259" s="9"/>
      <c r="M259" s="6"/>
      <c r="N259" s="6"/>
      <c r="O259" s="9"/>
      <c r="P259" s="6"/>
      <c r="Q259" s="6"/>
      <c r="R259" s="18"/>
      <c r="S259" s="9"/>
    </row>
    <row r="260" spans="1:19" ht="14.25" customHeight="1">
      <c r="A260" s="29"/>
      <c r="B260" s="6"/>
      <c r="C260" s="6"/>
      <c r="D260" s="6"/>
      <c r="E260" s="6"/>
      <c r="F260" s="6"/>
      <c r="G260" s="6"/>
      <c r="H260" s="6"/>
      <c r="I260" s="18"/>
      <c r="J260" s="6"/>
      <c r="K260" s="6"/>
      <c r="L260" s="9"/>
      <c r="M260" s="6"/>
      <c r="N260" s="6"/>
      <c r="O260" s="9"/>
      <c r="P260" s="6"/>
      <c r="Q260" s="6"/>
      <c r="R260" s="18"/>
      <c r="S260" s="9"/>
    </row>
    <row r="261" spans="1:19" ht="14.25" customHeight="1">
      <c r="A261" s="29"/>
      <c r="B261" s="6"/>
      <c r="C261" s="6"/>
      <c r="D261" s="6"/>
      <c r="E261" s="6"/>
      <c r="F261" s="6"/>
      <c r="G261" s="6"/>
      <c r="H261" s="6"/>
      <c r="I261" s="18"/>
      <c r="J261" s="6"/>
      <c r="K261" s="6"/>
      <c r="L261" s="9"/>
      <c r="M261" s="6"/>
      <c r="N261" s="6"/>
      <c r="O261" s="9"/>
      <c r="P261" s="6"/>
      <c r="Q261" s="6"/>
      <c r="R261" s="18"/>
      <c r="S261" s="9"/>
    </row>
    <row r="262" spans="1:19" ht="14.25" customHeight="1">
      <c r="A262" s="29"/>
      <c r="B262" s="6"/>
      <c r="C262" s="6"/>
      <c r="D262" s="6"/>
      <c r="E262" s="6"/>
      <c r="F262" s="6"/>
      <c r="G262" s="6"/>
      <c r="H262" s="6"/>
      <c r="I262" s="18"/>
      <c r="J262" s="6"/>
      <c r="K262" s="6"/>
      <c r="L262" s="9"/>
      <c r="M262" s="6"/>
      <c r="N262" s="6"/>
      <c r="O262" s="9"/>
      <c r="P262" s="6"/>
      <c r="Q262" s="6"/>
      <c r="R262" s="18"/>
      <c r="S262" s="9"/>
    </row>
    <row r="263" spans="1:19" ht="14.25" customHeight="1">
      <c r="A263" s="29"/>
      <c r="B263" s="6"/>
      <c r="C263" s="6"/>
      <c r="D263" s="6"/>
      <c r="E263" s="6"/>
      <c r="F263" s="6"/>
      <c r="G263" s="6"/>
      <c r="H263" s="6"/>
      <c r="I263" s="18"/>
      <c r="J263" s="6"/>
      <c r="K263" s="6"/>
      <c r="L263" s="9"/>
      <c r="M263" s="6"/>
      <c r="N263" s="6"/>
      <c r="O263" s="9"/>
      <c r="P263" s="6"/>
      <c r="Q263" s="6"/>
      <c r="R263" s="18"/>
      <c r="S263" s="9"/>
    </row>
    <row r="264" spans="1:19" ht="14.25" customHeight="1">
      <c r="A264" s="29"/>
      <c r="B264" s="6"/>
      <c r="C264" s="6"/>
      <c r="D264" s="6"/>
      <c r="E264" s="6"/>
      <c r="F264" s="6"/>
      <c r="G264" s="6"/>
      <c r="H264" s="6"/>
      <c r="I264" s="18"/>
      <c r="J264" s="6"/>
      <c r="K264" s="6"/>
      <c r="L264" s="9"/>
      <c r="M264" s="6"/>
      <c r="N264" s="6"/>
      <c r="O264" s="9"/>
      <c r="P264" s="6"/>
      <c r="Q264" s="6"/>
      <c r="R264" s="18"/>
      <c r="S264" s="9"/>
    </row>
    <row r="265" spans="1:19" ht="14.25" customHeight="1">
      <c r="A265" s="29"/>
      <c r="B265" s="6"/>
      <c r="C265" s="6"/>
      <c r="D265" s="6"/>
      <c r="E265" s="6"/>
      <c r="F265" s="6"/>
      <c r="G265" s="6"/>
      <c r="H265" s="6"/>
      <c r="I265" s="18"/>
      <c r="J265" s="6"/>
      <c r="K265" s="6"/>
      <c r="L265" s="9"/>
      <c r="M265" s="6"/>
      <c r="N265" s="6"/>
      <c r="O265" s="9"/>
      <c r="P265" s="6"/>
      <c r="Q265" s="6"/>
      <c r="R265" s="18"/>
      <c r="S265" s="9"/>
    </row>
    <row r="266" spans="1:19" ht="14.25" customHeight="1">
      <c r="A266" s="29"/>
      <c r="B266" s="6"/>
      <c r="C266" s="6"/>
      <c r="D266" s="6"/>
      <c r="E266" s="6"/>
      <c r="F266" s="6"/>
      <c r="G266" s="6"/>
      <c r="H266" s="6"/>
      <c r="I266" s="18"/>
      <c r="J266" s="6"/>
      <c r="K266" s="6"/>
      <c r="L266" s="9"/>
      <c r="M266" s="6"/>
      <c r="N266" s="6"/>
      <c r="O266" s="9"/>
      <c r="P266" s="6"/>
      <c r="Q266" s="6"/>
      <c r="R266" s="18"/>
      <c r="S266" s="9"/>
    </row>
    <row r="267" spans="1:19" ht="14.25" customHeight="1">
      <c r="A267" s="29"/>
      <c r="B267" s="6"/>
      <c r="C267" s="6"/>
      <c r="D267" s="6"/>
      <c r="E267" s="6"/>
      <c r="F267" s="6"/>
      <c r="G267" s="6"/>
      <c r="H267" s="6"/>
      <c r="I267" s="18"/>
      <c r="J267" s="6"/>
      <c r="K267" s="6"/>
      <c r="L267" s="9"/>
      <c r="M267" s="6"/>
      <c r="N267" s="6"/>
      <c r="O267" s="9"/>
      <c r="P267" s="6"/>
      <c r="Q267" s="6"/>
      <c r="R267" s="18"/>
      <c r="S267" s="9"/>
    </row>
    <row r="268" spans="1:19" ht="14.25" customHeight="1">
      <c r="A268" s="29"/>
      <c r="B268" s="6"/>
      <c r="C268" s="6"/>
      <c r="D268" s="6"/>
      <c r="E268" s="6"/>
      <c r="F268" s="6"/>
      <c r="G268" s="6"/>
      <c r="H268" s="6"/>
      <c r="I268" s="18"/>
      <c r="J268" s="6"/>
      <c r="K268" s="6"/>
      <c r="L268" s="9"/>
      <c r="M268" s="6"/>
      <c r="N268" s="6"/>
      <c r="O268" s="9"/>
      <c r="P268" s="6"/>
      <c r="Q268" s="6"/>
      <c r="R268" s="18"/>
      <c r="S268" s="9"/>
    </row>
    <row r="269" spans="1:19" ht="14.25" customHeight="1">
      <c r="A269" s="29"/>
      <c r="B269" s="6"/>
      <c r="C269" s="6"/>
      <c r="D269" s="6"/>
      <c r="E269" s="6"/>
      <c r="F269" s="6"/>
      <c r="G269" s="6"/>
      <c r="H269" s="6"/>
      <c r="I269" s="18"/>
      <c r="J269" s="6"/>
      <c r="K269" s="6"/>
      <c r="L269" s="9"/>
      <c r="M269" s="6"/>
      <c r="N269" s="6"/>
      <c r="O269" s="9"/>
      <c r="P269" s="6"/>
      <c r="Q269" s="6"/>
      <c r="R269" s="18"/>
      <c r="S269" s="9"/>
    </row>
    <row r="270" spans="1:19" ht="14.25" customHeight="1">
      <c r="A270" s="29"/>
      <c r="B270" s="6"/>
      <c r="C270" s="6"/>
      <c r="D270" s="6"/>
      <c r="E270" s="6"/>
      <c r="F270" s="6"/>
      <c r="G270" s="6"/>
      <c r="H270" s="6"/>
      <c r="I270" s="18"/>
      <c r="J270" s="6"/>
      <c r="K270" s="6"/>
      <c r="L270" s="9"/>
      <c r="M270" s="6"/>
      <c r="N270" s="6"/>
      <c r="O270" s="9"/>
      <c r="P270" s="6"/>
      <c r="Q270" s="6"/>
      <c r="R270" s="18"/>
      <c r="S270" s="9"/>
    </row>
    <row r="271" spans="1:19" ht="14.25" customHeight="1">
      <c r="A271" s="29"/>
      <c r="B271" s="6"/>
      <c r="C271" s="6"/>
      <c r="D271" s="6"/>
      <c r="E271" s="6"/>
      <c r="F271" s="6"/>
      <c r="G271" s="6"/>
      <c r="H271" s="6"/>
      <c r="I271" s="18"/>
      <c r="J271" s="6"/>
      <c r="K271" s="6"/>
      <c r="L271" s="9"/>
      <c r="M271" s="6"/>
      <c r="N271" s="6"/>
      <c r="O271" s="9"/>
      <c r="P271" s="6"/>
      <c r="Q271" s="6"/>
      <c r="R271" s="18"/>
      <c r="S271" s="9"/>
    </row>
    <row r="272" spans="1:19" ht="14.25" customHeight="1">
      <c r="A272" s="29"/>
      <c r="B272" s="6"/>
      <c r="C272" s="6"/>
      <c r="D272" s="6"/>
      <c r="E272" s="6"/>
      <c r="F272" s="6"/>
      <c r="G272" s="6"/>
      <c r="H272" s="6"/>
      <c r="I272" s="18"/>
      <c r="J272" s="6"/>
      <c r="K272" s="6"/>
      <c r="L272" s="9"/>
      <c r="M272" s="6"/>
      <c r="N272" s="6"/>
      <c r="O272" s="9"/>
      <c r="P272" s="6"/>
      <c r="Q272" s="6"/>
      <c r="R272" s="18"/>
      <c r="S272" s="9"/>
    </row>
    <row r="273" spans="1:19" ht="14.25" customHeight="1">
      <c r="A273" s="29"/>
      <c r="B273" s="6"/>
      <c r="C273" s="6"/>
      <c r="D273" s="6"/>
      <c r="E273" s="6"/>
      <c r="F273" s="6"/>
      <c r="G273" s="6"/>
      <c r="H273" s="6"/>
      <c r="I273" s="18"/>
      <c r="J273" s="6"/>
      <c r="K273" s="6"/>
      <c r="L273" s="9"/>
      <c r="M273" s="6"/>
      <c r="N273" s="6"/>
      <c r="O273" s="9"/>
      <c r="P273" s="6"/>
      <c r="Q273" s="6"/>
      <c r="R273" s="18"/>
      <c r="S273" s="9"/>
    </row>
    <row r="274" spans="1:19" ht="14.25" customHeight="1">
      <c r="A274" s="29"/>
      <c r="B274" s="6"/>
      <c r="C274" s="6"/>
      <c r="D274" s="6"/>
      <c r="E274" s="6"/>
      <c r="F274" s="6"/>
      <c r="G274" s="6"/>
      <c r="H274" s="6"/>
      <c r="I274" s="18"/>
      <c r="J274" s="6"/>
      <c r="K274" s="6"/>
      <c r="L274" s="9"/>
      <c r="M274" s="6"/>
      <c r="N274" s="6"/>
      <c r="O274" s="9"/>
      <c r="P274" s="6"/>
      <c r="Q274" s="6"/>
      <c r="R274" s="18"/>
      <c r="S274" s="9"/>
    </row>
    <row r="275" spans="1:19" ht="14.25" customHeight="1">
      <c r="A275" s="29"/>
      <c r="B275" s="6"/>
      <c r="C275" s="6"/>
      <c r="D275" s="6"/>
      <c r="E275" s="6"/>
      <c r="F275" s="6"/>
      <c r="G275" s="6"/>
      <c r="H275" s="6"/>
      <c r="I275" s="18"/>
      <c r="J275" s="6"/>
      <c r="K275" s="6"/>
      <c r="L275" s="9"/>
      <c r="M275" s="6"/>
      <c r="N275" s="6"/>
      <c r="O275" s="9"/>
      <c r="P275" s="6"/>
      <c r="Q275" s="6"/>
      <c r="R275" s="18"/>
      <c r="S275" s="9"/>
    </row>
    <row r="276" spans="1:19" ht="14.25" customHeight="1">
      <c r="A276" s="29"/>
      <c r="B276" s="6"/>
      <c r="C276" s="6"/>
      <c r="D276" s="6"/>
      <c r="E276" s="6"/>
      <c r="F276" s="6"/>
      <c r="G276" s="6"/>
      <c r="H276" s="6"/>
      <c r="I276" s="18"/>
      <c r="J276" s="6"/>
      <c r="K276" s="6"/>
      <c r="L276" s="9"/>
      <c r="M276" s="6"/>
      <c r="N276" s="6"/>
      <c r="O276" s="9"/>
      <c r="P276" s="6"/>
      <c r="Q276" s="6"/>
      <c r="R276" s="18"/>
      <c r="S276" s="9"/>
    </row>
    <row r="277" spans="1:19" ht="14.25" customHeight="1">
      <c r="A277" s="29"/>
      <c r="B277" s="6"/>
      <c r="C277" s="6"/>
      <c r="D277" s="6"/>
      <c r="E277" s="6"/>
      <c r="F277" s="6"/>
      <c r="G277" s="6"/>
      <c r="H277" s="6"/>
      <c r="I277" s="18"/>
      <c r="J277" s="6"/>
      <c r="K277" s="6"/>
      <c r="L277" s="9"/>
      <c r="M277" s="6"/>
      <c r="N277" s="6"/>
      <c r="O277" s="9"/>
      <c r="P277" s="6"/>
      <c r="Q277" s="6"/>
      <c r="R277" s="18"/>
      <c r="S277" s="9"/>
    </row>
    <row r="278" spans="1:19" ht="14.25" customHeight="1">
      <c r="A278" s="29"/>
      <c r="B278" s="6"/>
      <c r="C278" s="6"/>
      <c r="D278" s="6"/>
      <c r="E278" s="6"/>
      <c r="F278" s="6"/>
      <c r="G278" s="6"/>
      <c r="H278" s="6"/>
      <c r="I278" s="18"/>
      <c r="J278" s="6"/>
      <c r="K278" s="6"/>
      <c r="L278" s="9"/>
      <c r="M278" s="6"/>
      <c r="N278" s="6"/>
      <c r="O278" s="9"/>
      <c r="P278" s="6"/>
      <c r="Q278" s="6"/>
      <c r="R278" s="18"/>
      <c r="S278" s="9"/>
    </row>
    <row r="279" spans="1:19" ht="14.25" customHeight="1">
      <c r="A279" s="29"/>
      <c r="B279" s="6"/>
      <c r="C279" s="6"/>
      <c r="D279" s="6"/>
      <c r="E279" s="6"/>
      <c r="F279" s="6"/>
      <c r="G279" s="6"/>
      <c r="H279" s="6"/>
      <c r="I279" s="18"/>
      <c r="J279" s="6"/>
      <c r="K279" s="6"/>
      <c r="L279" s="9"/>
      <c r="M279" s="6"/>
      <c r="N279" s="6"/>
      <c r="O279" s="9"/>
      <c r="P279" s="6"/>
      <c r="Q279" s="6"/>
      <c r="R279" s="18"/>
      <c r="S279" s="9"/>
    </row>
    <row r="280" spans="1:19" ht="14.25" customHeight="1">
      <c r="A280" s="29"/>
      <c r="B280" s="6"/>
      <c r="C280" s="6"/>
      <c r="D280" s="6"/>
      <c r="E280" s="6"/>
      <c r="F280" s="6"/>
      <c r="G280" s="6"/>
      <c r="H280" s="6"/>
      <c r="I280" s="18"/>
      <c r="J280" s="6"/>
      <c r="K280" s="6"/>
      <c r="L280" s="9"/>
      <c r="M280" s="6"/>
      <c r="N280" s="6"/>
      <c r="O280" s="9"/>
      <c r="P280" s="6"/>
      <c r="Q280" s="6"/>
      <c r="R280" s="18"/>
      <c r="S280" s="9"/>
    </row>
    <row r="281" spans="1:19" ht="14.25" customHeight="1">
      <c r="A281" s="29"/>
      <c r="B281" s="6"/>
      <c r="C281" s="6"/>
      <c r="D281" s="6"/>
      <c r="E281" s="6"/>
      <c r="F281" s="6"/>
      <c r="G281" s="6"/>
      <c r="H281" s="6"/>
      <c r="I281" s="18"/>
      <c r="J281" s="6"/>
      <c r="K281" s="6"/>
      <c r="L281" s="9"/>
      <c r="M281" s="6"/>
      <c r="N281" s="6"/>
      <c r="O281" s="9"/>
      <c r="P281" s="6"/>
      <c r="Q281" s="6"/>
      <c r="R281" s="18"/>
      <c r="S281" s="9"/>
    </row>
    <row r="282" spans="1:19" ht="14.25" customHeight="1">
      <c r="A282" s="29"/>
      <c r="B282" s="6"/>
      <c r="C282" s="6"/>
      <c r="D282" s="6"/>
      <c r="E282" s="6"/>
      <c r="F282" s="6"/>
      <c r="G282" s="6"/>
      <c r="H282" s="6"/>
      <c r="I282" s="18"/>
      <c r="J282" s="6"/>
      <c r="K282" s="6"/>
      <c r="L282" s="9"/>
      <c r="M282" s="6"/>
      <c r="N282" s="6"/>
      <c r="O282" s="9"/>
      <c r="P282" s="6"/>
      <c r="Q282" s="6"/>
      <c r="R282" s="18"/>
      <c r="S282" s="9"/>
    </row>
    <row r="283" spans="1:19" ht="14.25" customHeight="1">
      <c r="A283" s="29"/>
      <c r="B283" s="6"/>
      <c r="C283" s="6"/>
      <c r="D283" s="6"/>
      <c r="E283" s="6"/>
      <c r="F283" s="6"/>
      <c r="G283" s="6"/>
      <c r="H283" s="6"/>
      <c r="I283" s="18"/>
      <c r="J283" s="6"/>
      <c r="K283" s="6"/>
      <c r="L283" s="9"/>
      <c r="M283" s="6"/>
      <c r="N283" s="6"/>
      <c r="O283" s="9"/>
      <c r="P283" s="6"/>
      <c r="Q283" s="6"/>
      <c r="R283" s="18"/>
      <c r="S283" s="9"/>
    </row>
    <row r="284" spans="1:19" ht="14.25" customHeight="1">
      <c r="A284" s="29"/>
      <c r="B284" s="6"/>
      <c r="C284" s="6"/>
      <c r="D284" s="6"/>
      <c r="E284" s="6"/>
      <c r="F284" s="6"/>
      <c r="G284" s="6"/>
      <c r="H284" s="6"/>
      <c r="I284" s="18"/>
      <c r="J284" s="6"/>
      <c r="K284" s="6"/>
      <c r="L284" s="9"/>
      <c r="M284" s="6"/>
      <c r="N284" s="6"/>
      <c r="O284" s="9"/>
      <c r="P284" s="6"/>
      <c r="Q284" s="6"/>
      <c r="R284" s="18"/>
      <c r="S284" s="9"/>
    </row>
    <row r="285" spans="1:19" ht="14.25" customHeight="1">
      <c r="A285" s="29"/>
      <c r="B285" s="6"/>
      <c r="C285" s="6"/>
      <c r="D285" s="6"/>
      <c r="E285" s="6"/>
      <c r="F285" s="6"/>
      <c r="G285" s="6"/>
      <c r="H285" s="6"/>
      <c r="I285" s="18"/>
      <c r="J285" s="6"/>
      <c r="K285" s="6"/>
      <c r="L285" s="9"/>
      <c r="M285" s="6"/>
      <c r="N285" s="6"/>
      <c r="O285" s="9"/>
      <c r="P285" s="6"/>
      <c r="Q285" s="6"/>
      <c r="R285" s="18"/>
      <c r="S285" s="9"/>
    </row>
    <row r="286" spans="1:19" ht="14.25" customHeight="1">
      <c r="A286" s="29"/>
      <c r="B286" s="6"/>
      <c r="C286" s="6"/>
      <c r="D286" s="6"/>
      <c r="E286" s="6"/>
      <c r="F286" s="6"/>
      <c r="G286" s="6"/>
      <c r="H286" s="6"/>
      <c r="I286" s="18"/>
      <c r="J286" s="6"/>
      <c r="K286" s="6"/>
      <c r="L286" s="9"/>
      <c r="M286" s="6"/>
      <c r="N286" s="6"/>
      <c r="O286" s="9"/>
      <c r="P286" s="6"/>
      <c r="Q286" s="6"/>
      <c r="R286" s="18"/>
      <c r="S286" s="9"/>
    </row>
    <row r="287" spans="1:19" ht="14.25" customHeight="1">
      <c r="A287" s="29"/>
      <c r="B287" s="6"/>
      <c r="C287" s="6"/>
      <c r="D287" s="6"/>
      <c r="E287" s="6"/>
      <c r="F287" s="6"/>
      <c r="G287" s="6"/>
      <c r="H287" s="6"/>
      <c r="I287" s="18"/>
      <c r="J287" s="6"/>
      <c r="K287" s="6"/>
      <c r="L287" s="9"/>
      <c r="M287" s="6"/>
      <c r="N287" s="6"/>
      <c r="O287" s="9"/>
      <c r="P287" s="6"/>
      <c r="Q287" s="6"/>
      <c r="R287" s="18"/>
      <c r="S287" s="9"/>
    </row>
    <row r="288" spans="1:19" ht="14.25" customHeight="1">
      <c r="A288" s="29"/>
      <c r="B288" s="6"/>
      <c r="C288" s="6"/>
      <c r="D288" s="6"/>
      <c r="E288" s="6"/>
      <c r="F288" s="6"/>
      <c r="G288" s="6"/>
      <c r="H288" s="6"/>
      <c r="I288" s="18"/>
      <c r="J288" s="6"/>
      <c r="K288" s="6"/>
      <c r="L288" s="9"/>
      <c r="M288" s="6"/>
      <c r="N288" s="6"/>
      <c r="O288" s="9"/>
      <c r="P288" s="6"/>
      <c r="Q288" s="6"/>
      <c r="R288" s="18"/>
      <c r="S288" s="9"/>
    </row>
    <row r="289" spans="1:19" ht="14.25" customHeight="1">
      <c r="A289" s="29"/>
      <c r="B289" s="6"/>
      <c r="C289" s="6"/>
      <c r="D289" s="6"/>
      <c r="E289" s="6"/>
      <c r="F289" s="6"/>
      <c r="G289" s="6"/>
      <c r="H289" s="6"/>
      <c r="I289" s="18"/>
      <c r="J289" s="6"/>
      <c r="K289" s="6"/>
      <c r="L289" s="9"/>
      <c r="M289" s="6"/>
      <c r="N289" s="6"/>
      <c r="O289" s="9"/>
      <c r="P289" s="6"/>
      <c r="Q289" s="6"/>
      <c r="R289" s="18"/>
      <c r="S289" s="9"/>
    </row>
    <row r="290" spans="1:19" ht="14.25" customHeight="1">
      <c r="A290" s="29"/>
      <c r="B290" s="6"/>
      <c r="C290" s="6"/>
      <c r="D290" s="6"/>
      <c r="E290" s="6"/>
      <c r="F290" s="6"/>
      <c r="G290" s="6"/>
      <c r="H290" s="6"/>
      <c r="I290" s="18"/>
      <c r="J290" s="6"/>
      <c r="K290" s="6"/>
      <c r="L290" s="9"/>
      <c r="M290" s="6"/>
      <c r="N290" s="6"/>
      <c r="O290" s="9"/>
      <c r="P290" s="6"/>
      <c r="Q290" s="6"/>
      <c r="R290" s="18"/>
      <c r="S290" s="9"/>
    </row>
    <row r="291" spans="1:19" ht="14.25" customHeight="1">
      <c r="A291" s="29"/>
      <c r="B291" s="6"/>
      <c r="C291" s="6"/>
      <c r="D291" s="6"/>
      <c r="E291" s="6"/>
      <c r="F291" s="6"/>
      <c r="G291" s="6"/>
      <c r="H291" s="6"/>
      <c r="I291" s="18"/>
      <c r="J291" s="6"/>
      <c r="K291" s="6"/>
      <c r="L291" s="9"/>
      <c r="M291" s="6"/>
      <c r="N291" s="6"/>
      <c r="O291" s="9"/>
      <c r="P291" s="6"/>
      <c r="Q291" s="6"/>
      <c r="R291" s="18"/>
      <c r="S291" s="9"/>
    </row>
    <row r="292" spans="1:19" ht="14.25" customHeight="1">
      <c r="A292" s="29"/>
      <c r="B292" s="6"/>
      <c r="C292" s="6"/>
      <c r="D292" s="6"/>
      <c r="E292" s="6"/>
      <c r="F292" s="6"/>
      <c r="G292" s="6"/>
      <c r="H292" s="6"/>
      <c r="I292" s="18"/>
      <c r="J292" s="6"/>
      <c r="K292" s="6"/>
      <c r="L292" s="9"/>
      <c r="M292" s="6"/>
      <c r="N292" s="6"/>
      <c r="O292" s="9"/>
      <c r="P292" s="6"/>
      <c r="Q292" s="6"/>
      <c r="R292" s="18"/>
      <c r="S292" s="9"/>
    </row>
    <row r="293" spans="1:19" ht="14.25" customHeight="1">
      <c r="A293" s="29"/>
      <c r="B293" s="6"/>
      <c r="C293" s="6"/>
      <c r="D293" s="6"/>
      <c r="E293" s="6"/>
      <c r="F293" s="6"/>
      <c r="G293" s="6"/>
      <c r="H293" s="6"/>
      <c r="I293" s="18"/>
      <c r="J293" s="6"/>
      <c r="K293" s="6"/>
      <c r="L293" s="9"/>
      <c r="M293" s="6"/>
      <c r="N293" s="6"/>
      <c r="O293" s="9"/>
      <c r="P293" s="6"/>
      <c r="Q293" s="6"/>
      <c r="R293" s="18"/>
      <c r="S293" s="9"/>
    </row>
    <row r="294" spans="1:19" ht="14.25" customHeight="1">
      <c r="A294" s="29"/>
      <c r="B294" s="6"/>
      <c r="C294" s="6"/>
      <c r="D294" s="6"/>
      <c r="E294" s="6"/>
      <c r="F294" s="6"/>
      <c r="G294" s="6"/>
      <c r="H294" s="6"/>
      <c r="I294" s="18"/>
      <c r="J294" s="6"/>
      <c r="K294" s="6"/>
      <c r="L294" s="9"/>
      <c r="M294" s="6"/>
      <c r="N294" s="6"/>
      <c r="O294" s="9"/>
      <c r="P294" s="6"/>
      <c r="Q294" s="6"/>
      <c r="R294" s="18"/>
      <c r="S294" s="9"/>
    </row>
    <row r="295" spans="1:19" ht="14.25" customHeight="1">
      <c r="A295" s="29"/>
      <c r="B295" s="6"/>
      <c r="C295" s="6"/>
      <c r="D295" s="6"/>
      <c r="E295" s="6"/>
      <c r="F295" s="6"/>
      <c r="G295" s="6"/>
      <c r="H295" s="6"/>
      <c r="I295" s="18"/>
      <c r="J295" s="6"/>
      <c r="K295" s="6"/>
      <c r="L295" s="9"/>
      <c r="M295" s="6"/>
      <c r="N295" s="6"/>
      <c r="O295" s="9"/>
      <c r="P295" s="6"/>
      <c r="Q295" s="6"/>
      <c r="R295" s="18"/>
      <c r="S295" s="9"/>
    </row>
    <row r="296" spans="1:19" ht="14.25" customHeight="1">
      <c r="A296" s="29"/>
      <c r="B296" s="6"/>
      <c r="C296" s="6"/>
      <c r="D296" s="6"/>
      <c r="E296" s="6"/>
      <c r="F296" s="6"/>
      <c r="G296" s="6"/>
      <c r="H296" s="6"/>
      <c r="I296" s="18"/>
      <c r="J296" s="6"/>
      <c r="K296" s="6"/>
      <c r="L296" s="9"/>
      <c r="M296" s="6"/>
      <c r="N296" s="6"/>
      <c r="O296" s="9"/>
      <c r="P296" s="6"/>
      <c r="Q296" s="6"/>
      <c r="R296" s="18"/>
      <c r="S296" s="9"/>
    </row>
    <row r="297" spans="1:19" ht="14.25" customHeight="1">
      <c r="A297" s="29"/>
      <c r="B297" s="6"/>
      <c r="C297" s="6"/>
      <c r="D297" s="6"/>
      <c r="E297" s="6"/>
      <c r="F297" s="6"/>
      <c r="G297" s="6"/>
      <c r="H297" s="6"/>
      <c r="I297" s="18"/>
      <c r="J297" s="6"/>
      <c r="K297" s="6"/>
      <c r="L297" s="9"/>
      <c r="M297" s="6"/>
      <c r="N297" s="6"/>
      <c r="O297" s="9"/>
      <c r="P297" s="6"/>
      <c r="Q297" s="6"/>
      <c r="R297" s="18"/>
      <c r="S297" s="9"/>
    </row>
    <row r="298" spans="1:19" ht="14.25" customHeight="1">
      <c r="A298" s="29"/>
      <c r="B298" s="6"/>
      <c r="C298" s="6"/>
      <c r="D298" s="6"/>
      <c r="E298" s="6"/>
      <c r="F298" s="6"/>
      <c r="G298" s="6"/>
      <c r="H298" s="6"/>
      <c r="I298" s="18"/>
      <c r="J298" s="6"/>
      <c r="K298" s="6"/>
      <c r="L298" s="9"/>
      <c r="M298" s="6"/>
      <c r="N298" s="6"/>
      <c r="O298" s="9"/>
      <c r="P298" s="6"/>
      <c r="Q298" s="6"/>
      <c r="R298" s="18"/>
      <c r="S298" s="9"/>
    </row>
    <row r="299" spans="1:19" ht="14.25" customHeight="1">
      <c r="A299" s="29"/>
      <c r="B299" s="6"/>
      <c r="C299" s="6"/>
      <c r="D299" s="6"/>
      <c r="E299" s="6"/>
      <c r="F299" s="6"/>
      <c r="G299" s="6"/>
      <c r="H299" s="6"/>
      <c r="I299" s="18"/>
      <c r="J299" s="6"/>
      <c r="K299" s="6"/>
      <c r="L299" s="9"/>
      <c r="M299" s="6"/>
      <c r="N299" s="6"/>
      <c r="O299" s="9"/>
      <c r="P299" s="6"/>
      <c r="Q299" s="6"/>
      <c r="R299" s="18"/>
      <c r="S299" s="9"/>
    </row>
    <row r="300" spans="1:19" ht="14.25" customHeight="1">
      <c r="A300" s="29"/>
      <c r="B300" s="6"/>
      <c r="C300" s="6"/>
      <c r="D300" s="6"/>
      <c r="E300" s="6"/>
      <c r="F300" s="6"/>
      <c r="G300" s="6"/>
      <c r="H300" s="6"/>
      <c r="I300" s="18"/>
      <c r="J300" s="6"/>
      <c r="K300" s="6"/>
      <c r="L300" s="9"/>
      <c r="M300" s="6"/>
      <c r="N300" s="6"/>
      <c r="O300" s="9"/>
      <c r="P300" s="6"/>
      <c r="Q300" s="6"/>
      <c r="R300" s="18"/>
      <c r="S300" s="9"/>
    </row>
    <row r="301" spans="1:19" ht="14.25" customHeight="1">
      <c r="A301" s="29"/>
      <c r="B301" s="6"/>
      <c r="C301" s="6"/>
      <c r="D301" s="6"/>
      <c r="E301" s="6"/>
      <c r="F301" s="6"/>
      <c r="G301" s="6"/>
      <c r="H301" s="6"/>
      <c r="I301" s="18"/>
      <c r="J301" s="6"/>
      <c r="K301" s="6"/>
      <c r="L301" s="9"/>
      <c r="M301" s="6"/>
      <c r="N301" s="6"/>
      <c r="O301" s="9"/>
      <c r="P301" s="6"/>
      <c r="Q301" s="6"/>
      <c r="R301" s="18"/>
      <c r="S301" s="9"/>
    </row>
    <row r="302" spans="1:19" ht="14.25" customHeight="1">
      <c r="A302" s="29"/>
      <c r="B302" s="6"/>
      <c r="C302" s="6"/>
      <c r="D302" s="6"/>
      <c r="E302" s="6"/>
      <c r="F302" s="6"/>
      <c r="G302" s="6"/>
      <c r="H302" s="6"/>
      <c r="I302" s="18"/>
      <c r="J302" s="6"/>
      <c r="K302" s="6"/>
      <c r="L302" s="9"/>
      <c r="M302" s="6"/>
      <c r="N302" s="6"/>
      <c r="O302" s="9"/>
      <c r="P302" s="6"/>
      <c r="Q302" s="6"/>
      <c r="R302" s="18"/>
      <c r="S302" s="9"/>
    </row>
    <row r="303" spans="1:19" ht="14.25" customHeight="1">
      <c r="A303" s="29"/>
      <c r="B303" s="6"/>
      <c r="C303" s="6"/>
      <c r="D303" s="6"/>
      <c r="E303" s="6"/>
      <c r="F303" s="6"/>
      <c r="G303" s="6"/>
      <c r="H303" s="6"/>
      <c r="I303" s="18"/>
      <c r="J303" s="6"/>
      <c r="K303" s="6"/>
      <c r="L303" s="9"/>
      <c r="M303" s="6"/>
      <c r="N303" s="6"/>
      <c r="O303" s="9"/>
      <c r="P303" s="6"/>
      <c r="Q303" s="6"/>
      <c r="R303" s="18"/>
      <c r="S303" s="9"/>
    </row>
    <row r="304" spans="1:19" ht="14.25" customHeight="1">
      <c r="A304" s="29"/>
      <c r="B304" s="6"/>
      <c r="C304" s="6"/>
      <c r="D304" s="6"/>
      <c r="E304" s="6"/>
      <c r="F304" s="6"/>
      <c r="G304" s="6"/>
      <c r="H304" s="6"/>
      <c r="I304" s="18"/>
      <c r="J304" s="6"/>
      <c r="K304" s="6"/>
      <c r="L304" s="9"/>
      <c r="M304" s="6"/>
      <c r="N304" s="6"/>
      <c r="O304" s="9"/>
      <c r="P304" s="6"/>
      <c r="Q304" s="6"/>
      <c r="R304" s="18"/>
      <c r="S304" s="9"/>
    </row>
    <row r="305" spans="1:19" ht="14.25" customHeight="1">
      <c r="A305" s="29"/>
      <c r="B305" s="6"/>
      <c r="C305" s="6"/>
      <c r="D305" s="6"/>
      <c r="E305" s="6"/>
      <c r="F305" s="6"/>
      <c r="G305" s="6"/>
      <c r="H305" s="6"/>
      <c r="I305" s="18"/>
      <c r="J305" s="6"/>
      <c r="K305" s="6"/>
      <c r="L305" s="9"/>
      <c r="M305" s="6"/>
      <c r="N305" s="6"/>
      <c r="O305" s="9"/>
      <c r="P305" s="6"/>
      <c r="Q305" s="6"/>
      <c r="R305" s="18"/>
      <c r="S305" s="9"/>
    </row>
    <row r="306" spans="1:19" ht="14.25" customHeight="1">
      <c r="A306" s="29"/>
      <c r="B306" s="6"/>
      <c r="C306" s="6"/>
      <c r="D306" s="6"/>
      <c r="E306" s="6"/>
      <c r="F306" s="6"/>
      <c r="G306" s="6"/>
      <c r="H306" s="6"/>
      <c r="I306" s="18"/>
      <c r="J306" s="6"/>
      <c r="K306" s="6"/>
      <c r="L306" s="9"/>
      <c r="M306" s="6"/>
      <c r="N306" s="6"/>
      <c r="O306" s="9"/>
      <c r="P306" s="6"/>
      <c r="Q306" s="6"/>
      <c r="R306" s="18"/>
      <c r="S306" s="9"/>
    </row>
    <row r="307" spans="1:19" ht="14.25" customHeight="1">
      <c r="A307" s="29"/>
      <c r="B307" s="6"/>
      <c r="C307" s="6"/>
      <c r="D307" s="6"/>
      <c r="E307" s="6"/>
      <c r="F307" s="6"/>
      <c r="G307" s="6"/>
      <c r="H307" s="6"/>
      <c r="I307" s="18"/>
      <c r="J307" s="6"/>
      <c r="K307" s="6"/>
      <c r="L307" s="9"/>
      <c r="M307" s="6"/>
      <c r="N307" s="6"/>
      <c r="O307" s="9"/>
      <c r="P307" s="6"/>
      <c r="Q307" s="6"/>
      <c r="R307" s="18"/>
      <c r="S307" s="9"/>
    </row>
    <row r="308" spans="1:19" ht="14.25" customHeight="1">
      <c r="A308" s="29"/>
      <c r="B308" s="6"/>
      <c r="C308" s="6"/>
      <c r="D308" s="6"/>
      <c r="E308" s="6"/>
      <c r="F308" s="6"/>
      <c r="G308" s="6"/>
      <c r="H308" s="6"/>
      <c r="I308" s="18"/>
      <c r="J308" s="6"/>
      <c r="K308" s="6"/>
      <c r="L308" s="9"/>
      <c r="M308" s="6"/>
      <c r="N308" s="6"/>
      <c r="O308" s="9"/>
      <c r="P308" s="6"/>
      <c r="Q308" s="6"/>
      <c r="R308" s="18"/>
      <c r="S308" s="9"/>
    </row>
    <row r="309" spans="1:19" ht="14.25" customHeight="1">
      <c r="A309" s="29"/>
      <c r="B309" s="6"/>
      <c r="C309" s="6"/>
      <c r="D309" s="6"/>
      <c r="E309" s="6"/>
      <c r="F309" s="6"/>
      <c r="G309" s="6"/>
      <c r="H309" s="6"/>
      <c r="I309" s="18"/>
      <c r="J309" s="6"/>
      <c r="K309" s="6"/>
      <c r="L309" s="9"/>
      <c r="M309" s="6"/>
      <c r="N309" s="6"/>
      <c r="O309" s="9"/>
      <c r="P309" s="6"/>
      <c r="Q309" s="6"/>
      <c r="R309" s="18"/>
      <c r="S309" s="9"/>
    </row>
    <row r="310" spans="1:19" ht="14.25" customHeight="1">
      <c r="A310" s="29"/>
      <c r="B310" s="6"/>
      <c r="C310" s="6"/>
      <c r="D310" s="6"/>
      <c r="E310" s="6"/>
      <c r="F310" s="6"/>
      <c r="G310" s="6"/>
      <c r="H310" s="6"/>
      <c r="I310" s="18"/>
      <c r="J310" s="6"/>
      <c r="K310" s="6"/>
      <c r="L310" s="9"/>
      <c r="M310" s="6"/>
      <c r="N310" s="6"/>
      <c r="O310" s="9"/>
      <c r="P310" s="6"/>
      <c r="Q310" s="6"/>
      <c r="R310" s="18"/>
      <c r="S310" s="9"/>
    </row>
    <row r="311" spans="1:19" ht="14.25" customHeight="1">
      <c r="A311" s="29"/>
      <c r="B311" s="6"/>
      <c r="C311" s="6"/>
      <c r="D311" s="6"/>
      <c r="E311" s="6"/>
      <c r="F311" s="6"/>
      <c r="G311" s="6"/>
      <c r="H311" s="6"/>
      <c r="I311" s="18"/>
      <c r="J311" s="6"/>
      <c r="K311" s="6"/>
      <c r="L311" s="9"/>
      <c r="M311" s="6"/>
      <c r="N311" s="6"/>
      <c r="O311" s="9"/>
      <c r="P311" s="6"/>
      <c r="Q311" s="6"/>
      <c r="R311" s="18"/>
      <c r="S311" s="9"/>
    </row>
    <row r="312" spans="1:19" ht="14.25" customHeight="1">
      <c r="A312" s="29"/>
      <c r="B312" s="6"/>
      <c r="C312" s="6"/>
      <c r="D312" s="6"/>
      <c r="E312" s="6"/>
      <c r="F312" s="6"/>
      <c r="G312" s="6"/>
      <c r="H312" s="6"/>
      <c r="I312" s="18"/>
      <c r="J312" s="6"/>
      <c r="K312" s="6"/>
      <c r="L312" s="9"/>
      <c r="M312" s="6"/>
      <c r="N312" s="6"/>
      <c r="O312" s="9"/>
      <c r="P312" s="6"/>
      <c r="Q312" s="6"/>
      <c r="R312" s="18"/>
      <c r="S312" s="9"/>
    </row>
    <row r="313" spans="1:19" ht="14.25" customHeight="1">
      <c r="A313" s="29"/>
      <c r="B313" s="6"/>
      <c r="C313" s="6"/>
      <c r="D313" s="6"/>
      <c r="E313" s="6"/>
      <c r="F313" s="6"/>
      <c r="G313" s="6"/>
      <c r="H313" s="6"/>
      <c r="I313" s="18"/>
      <c r="J313" s="6"/>
      <c r="K313" s="6"/>
      <c r="L313" s="9"/>
      <c r="M313" s="6"/>
      <c r="N313" s="6"/>
      <c r="O313" s="9"/>
      <c r="P313" s="6"/>
      <c r="Q313" s="6"/>
      <c r="R313" s="18"/>
      <c r="S313" s="9"/>
    </row>
    <row r="314" spans="1:19" ht="14.25" customHeight="1">
      <c r="A314" s="29"/>
      <c r="B314" s="6"/>
      <c r="C314" s="6"/>
      <c r="D314" s="6"/>
      <c r="E314" s="6"/>
      <c r="F314" s="6"/>
      <c r="G314" s="6"/>
      <c r="H314" s="6"/>
      <c r="I314" s="18"/>
      <c r="J314" s="6"/>
      <c r="K314" s="6"/>
      <c r="L314" s="9"/>
      <c r="M314" s="6"/>
      <c r="N314" s="6"/>
      <c r="O314" s="9"/>
      <c r="P314" s="6"/>
      <c r="Q314" s="6"/>
      <c r="R314" s="18"/>
      <c r="S314" s="9"/>
    </row>
    <row r="315" spans="1:19" ht="14.25" customHeight="1">
      <c r="A315" s="29"/>
      <c r="B315" s="6"/>
      <c r="C315" s="6"/>
      <c r="D315" s="6"/>
      <c r="E315" s="6"/>
      <c r="F315" s="6"/>
      <c r="G315" s="6"/>
      <c r="H315" s="6"/>
      <c r="I315" s="18"/>
      <c r="J315" s="6"/>
      <c r="K315" s="6"/>
      <c r="L315" s="9"/>
      <c r="M315" s="6"/>
      <c r="N315" s="6"/>
      <c r="O315" s="9"/>
      <c r="P315" s="6"/>
      <c r="Q315" s="6"/>
      <c r="R315" s="18"/>
      <c r="S315" s="9"/>
    </row>
    <row r="316" spans="1:19" ht="14.25" customHeight="1">
      <c r="A316" s="29"/>
      <c r="B316" s="6"/>
      <c r="C316" s="6"/>
      <c r="D316" s="6"/>
      <c r="E316" s="6"/>
      <c r="F316" s="6"/>
      <c r="G316" s="6"/>
      <c r="H316" s="6"/>
      <c r="I316" s="18"/>
      <c r="J316" s="6"/>
      <c r="K316" s="6"/>
      <c r="L316" s="9"/>
      <c r="M316" s="6"/>
      <c r="N316" s="6"/>
      <c r="O316" s="9"/>
      <c r="P316" s="6"/>
      <c r="Q316" s="6"/>
      <c r="R316" s="18"/>
      <c r="S316" s="9"/>
    </row>
    <row r="317" spans="1:19" ht="14.25" customHeight="1">
      <c r="A317" s="29"/>
      <c r="B317" s="6"/>
      <c r="C317" s="6"/>
      <c r="D317" s="6"/>
      <c r="E317" s="6"/>
      <c r="F317" s="6"/>
      <c r="G317" s="6"/>
      <c r="H317" s="6"/>
      <c r="I317" s="18"/>
      <c r="J317" s="6"/>
      <c r="K317" s="6"/>
      <c r="L317" s="9"/>
      <c r="M317" s="6"/>
      <c r="N317" s="6"/>
      <c r="O317" s="9"/>
      <c r="P317" s="6"/>
      <c r="Q317" s="6"/>
      <c r="R317" s="18"/>
      <c r="S317" s="9"/>
    </row>
    <row r="318" spans="1:19" ht="14.25" customHeight="1">
      <c r="A318" s="29"/>
      <c r="B318" s="6"/>
      <c r="C318" s="6"/>
      <c r="D318" s="6"/>
      <c r="E318" s="6"/>
      <c r="F318" s="6"/>
      <c r="G318" s="6"/>
      <c r="H318" s="6"/>
      <c r="I318" s="18"/>
      <c r="J318" s="6"/>
      <c r="K318" s="6"/>
      <c r="L318" s="9"/>
      <c r="M318" s="6"/>
      <c r="N318" s="6"/>
      <c r="O318" s="9"/>
      <c r="P318" s="6"/>
      <c r="Q318" s="6"/>
      <c r="R318" s="18"/>
      <c r="S318" s="9"/>
    </row>
    <row r="319" spans="1:19" ht="14.25" customHeight="1">
      <c r="A319" s="29"/>
      <c r="B319" s="6"/>
      <c r="C319" s="6"/>
      <c r="D319" s="6"/>
      <c r="E319" s="6"/>
      <c r="F319" s="6"/>
      <c r="G319" s="6"/>
      <c r="H319" s="6"/>
      <c r="I319" s="18"/>
      <c r="J319" s="6"/>
      <c r="K319" s="6"/>
      <c r="L319" s="9"/>
      <c r="M319" s="6"/>
      <c r="N319" s="6"/>
      <c r="O319" s="9"/>
      <c r="P319" s="6"/>
      <c r="Q319" s="6"/>
      <c r="R319" s="18"/>
      <c r="S319" s="9"/>
    </row>
    <row r="320" spans="1:19" ht="14.25" customHeight="1">
      <c r="A320" s="29"/>
      <c r="B320" s="6"/>
      <c r="C320" s="6"/>
      <c r="D320" s="6"/>
      <c r="E320" s="6"/>
      <c r="F320" s="6"/>
      <c r="G320" s="6"/>
      <c r="H320" s="6"/>
      <c r="I320" s="18"/>
      <c r="J320" s="6"/>
      <c r="K320" s="6"/>
      <c r="L320" s="9"/>
      <c r="M320" s="6"/>
      <c r="N320" s="6"/>
      <c r="O320" s="9"/>
      <c r="P320" s="6"/>
      <c r="Q320" s="6"/>
      <c r="R320" s="18"/>
      <c r="S320" s="9"/>
    </row>
    <row r="321" spans="1:19" ht="14.25" customHeight="1">
      <c r="A321" s="29"/>
      <c r="B321" s="6"/>
      <c r="C321" s="6"/>
      <c r="D321" s="6"/>
      <c r="E321" s="6"/>
      <c r="F321" s="6"/>
      <c r="G321" s="6"/>
      <c r="H321" s="6"/>
      <c r="I321" s="18"/>
      <c r="J321" s="6"/>
      <c r="K321" s="6"/>
      <c r="L321" s="9"/>
      <c r="M321" s="6"/>
      <c r="N321" s="6"/>
      <c r="O321" s="9"/>
      <c r="P321" s="6"/>
      <c r="Q321" s="6"/>
      <c r="R321" s="18"/>
      <c r="S321" s="9"/>
    </row>
    <row r="322" spans="1:19" ht="14.25" customHeight="1">
      <c r="A322" s="29"/>
      <c r="B322" s="6"/>
      <c r="C322" s="6"/>
      <c r="D322" s="6"/>
      <c r="E322" s="6"/>
      <c r="F322" s="6"/>
      <c r="G322" s="6"/>
      <c r="H322" s="6"/>
      <c r="I322" s="18"/>
      <c r="J322" s="6"/>
      <c r="K322" s="6"/>
      <c r="L322" s="9"/>
      <c r="M322" s="6"/>
      <c r="N322" s="6"/>
      <c r="O322" s="9"/>
      <c r="P322" s="6"/>
      <c r="Q322" s="6"/>
      <c r="R322" s="18"/>
      <c r="S322" s="9"/>
    </row>
    <row r="323" spans="1:19" ht="14.25" customHeight="1">
      <c r="A323" s="29"/>
      <c r="B323" s="6"/>
      <c r="C323" s="6"/>
      <c r="D323" s="6"/>
      <c r="E323" s="6"/>
      <c r="F323" s="6"/>
      <c r="G323" s="6"/>
      <c r="H323" s="6"/>
      <c r="I323" s="18"/>
      <c r="J323" s="6"/>
      <c r="K323" s="6"/>
      <c r="L323" s="9"/>
      <c r="M323" s="6"/>
      <c r="N323" s="6"/>
      <c r="O323" s="9"/>
      <c r="P323" s="6"/>
      <c r="Q323" s="6"/>
      <c r="R323" s="18"/>
      <c r="S323" s="9"/>
    </row>
    <row r="324" spans="1:19" ht="14.25" customHeight="1">
      <c r="A324" s="29"/>
      <c r="B324" s="6"/>
      <c r="C324" s="6"/>
      <c r="D324" s="6"/>
      <c r="E324" s="6"/>
      <c r="F324" s="6"/>
      <c r="G324" s="6"/>
      <c r="H324" s="6"/>
      <c r="I324" s="18"/>
      <c r="J324" s="6"/>
      <c r="K324" s="6"/>
      <c r="L324" s="9"/>
      <c r="M324" s="6"/>
      <c r="N324" s="6"/>
      <c r="O324" s="9"/>
      <c r="P324" s="6"/>
      <c r="Q324" s="6"/>
      <c r="R324" s="18"/>
      <c r="S324" s="9"/>
    </row>
    <row r="325" spans="1:19" ht="14.25" customHeight="1">
      <c r="A325" s="29"/>
      <c r="B325" s="6"/>
      <c r="C325" s="6"/>
      <c r="D325" s="6"/>
      <c r="E325" s="6"/>
      <c r="F325" s="6"/>
      <c r="G325" s="6"/>
      <c r="H325" s="6"/>
      <c r="I325" s="18"/>
      <c r="J325" s="6"/>
      <c r="K325" s="6"/>
      <c r="L325" s="9"/>
      <c r="M325" s="6"/>
      <c r="N325" s="6"/>
      <c r="O325" s="9"/>
      <c r="P325" s="6"/>
      <c r="Q325" s="6"/>
      <c r="R325" s="18"/>
      <c r="S325" s="9"/>
    </row>
    <row r="326" spans="1:19" ht="14.25" customHeight="1">
      <c r="A326" s="29"/>
      <c r="B326" s="6"/>
      <c r="C326" s="6"/>
      <c r="D326" s="6"/>
      <c r="E326" s="6"/>
      <c r="F326" s="6"/>
      <c r="G326" s="6"/>
      <c r="H326" s="6"/>
      <c r="I326" s="18"/>
      <c r="J326" s="6"/>
      <c r="K326" s="6"/>
      <c r="L326" s="9"/>
      <c r="M326" s="6"/>
      <c r="N326" s="6"/>
      <c r="O326" s="9"/>
      <c r="P326" s="6"/>
      <c r="Q326" s="6"/>
      <c r="R326" s="18"/>
      <c r="S326" s="9"/>
    </row>
    <row r="327" spans="1:19" ht="14.25" customHeight="1">
      <c r="A327" s="29"/>
      <c r="B327" s="6"/>
      <c r="C327" s="6"/>
      <c r="D327" s="6"/>
      <c r="E327" s="6"/>
      <c r="F327" s="6"/>
      <c r="G327" s="6"/>
      <c r="H327" s="6"/>
      <c r="I327" s="18"/>
      <c r="J327" s="6"/>
      <c r="K327" s="6"/>
      <c r="L327" s="9"/>
      <c r="M327" s="6"/>
      <c r="N327" s="6"/>
      <c r="O327" s="9"/>
      <c r="P327" s="6"/>
      <c r="Q327" s="6"/>
      <c r="R327" s="18"/>
      <c r="S327" s="9"/>
    </row>
    <row r="328" spans="1:19" ht="14.25" customHeight="1">
      <c r="A328" s="29"/>
      <c r="B328" s="6"/>
      <c r="C328" s="6"/>
      <c r="D328" s="6"/>
      <c r="E328" s="6"/>
      <c r="F328" s="6"/>
      <c r="G328" s="6"/>
      <c r="H328" s="6"/>
      <c r="I328" s="18"/>
      <c r="J328" s="6"/>
      <c r="K328" s="6"/>
      <c r="L328" s="9"/>
      <c r="M328" s="6"/>
      <c r="N328" s="6"/>
      <c r="O328" s="9"/>
      <c r="P328" s="6"/>
      <c r="Q328" s="6"/>
      <c r="R328" s="18"/>
      <c r="S328" s="9"/>
    </row>
    <row r="329" spans="1:19" ht="14.25" customHeight="1">
      <c r="A329" s="29"/>
      <c r="B329" s="6"/>
      <c r="C329" s="6"/>
      <c r="D329" s="6"/>
      <c r="E329" s="6"/>
      <c r="F329" s="6"/>
      <c r="G329" s="6"/>
      <c r="H329" s="6"/>
      <c r="I329" s="18"/>
      <c r="J329" s="6"/>
      <c r="K329" s="6"/>
      <c r="L329" s="9"/>
      <c r="M329" s="6"/>
      <c r="N329" s="6"/>
      <c r="O329" s="9"/>
      <c r="P329" s="6"/>
      <c r="Q329" s="6"/>
      <c r="R329" s="18"/>
      <c r="S329" s="9"/>
    </row>
    <row r="330" spans="1:19" ht="14.25" customHeight="1">
      <c r="A330" s="29"/>
      <c r="B330" s="6"/>
      <c r="C330" s="6"/>
      <c r="D330" s="6"/>
      <c r="E330" s="6"/>
      <c r="F330" s="6"/>
      <c r="G330" s="6"/>
      <c r="H330" s="6"/>
      <c r="I330" s="18"/>
      <c r="J330" s="6"/>
      <c r="K330" s="6"/>
      <c r="L330" s="9"/>
      <c r="M330" s="6"/>
      <c r="N330" s="6"/>
      <c r="O330" s="9"/>
      <c r="P330" s="6"/>
      <c r="Q330" s="6"/>
      <c r="R330" s="18"/>
      <c r="S330" s="9"/>
    </row>
    <row r="331" spans="1:19" ht="14.25" customHeight="1">
      <c r="A331" s="29"/>
      <c r="B331" s="6"/>
      <c r="C331" s="6"/>
      <c r="D331" s="6"/>
      <c r="E331" s="6"/>
      <c r="F331" s="6"/>
      <c r="G331" s="6"/>
      <c r="H331" s="6"/>
      <c r="I331" s="18"/>
      <c r="J331" s="6"/>
      <c r="K331" s="6"/>
      <c r="L331" s="9"/>
      <c r="M331" s="6"/>
      <c r="N331" s="6"/>
      <c r="O331" s="9"/>
      <c r="P331" s="6"/>
      <c r="Q331" s="6"/>
      <c r="R331" s="18"/>
      <c r="S331" s="9"/>
    </row>
    <row r="332" spans="1:19" ht="14.25" customHeight="1">
      <c r="A332" s="29"/>
      <c r="B332" s="6"/>
      <c r="C332" s="6"/>
      <c r="D332" s="6"/>
      <c r="E332" s="6"/>
      <c r="F332" s="6"/>
      <c r="G332" s="6"/>
      <c r="H332" s="6"/>
      <c r="I332" s="18"/>
      <c r="J332" s="6"/>
      <c r="K332" s="6"/>
      <c r="L332" s="9"/>
      <c r="M332" s="6"/>
      <c r="N332" s="6"/>
      <c r="O332" s="9"/>
      <c r="P332" s="6"/>
      <c r="Q332" s="6"/>
      <c r="R332" s="18"/>
      <c r="S332" s="9"/>
    </row>
    <row r="333" spans="1:19" ht="14.25" customHeight="1">
      <c r="A333" s="29"/>
      <c r="B333" s="6"/>
      <c r="C333" s="6"/>
      <c r="D333" s="6"/>
      <c r="E333" s="6"/>
      <c r="F333" s="6"/>
      <c r="G333" s="6"/>
      <c r="H333" s="6"/>
      <c r="I333" s="18"/>
      <c r="J333" s="6"/>
      <c r="K333" s="6"/>
      <c r="L333" s="9"/>
      <c r="M333" s="6"/>
      <c r="N333" s="6"/>
      <c r="O333" s="9"/>
      <c r="P333" s="6"/>
      <c r="Q333" s="6"/>
      <c r="R333" s="18"/>
      <c r="S333" s="9"/>
    </row>
    <row r="334" spans="1:19" ht="14.25" customHeight="1">
      <c r="A334" s="29"/>
      <c r="B334" s="6"/>
      <c r="C334" s="6"/>
      <c r="D334" s="6"/>
      <c r="E334" s="6"/>
      <c r="F334" s="6"/>
      <c r="G334" s="6"/>
      <c r="H334" s="6"/>
      <c r="I334" s="18"/>
      <c r="J334" s="6"/>
      <c r="K334" s="6"/>
      <c r="L334" s="9"/>
      <c r="M334" s="6"/>
      <c r="N334" s="6"/>
      <c r="O334" s="9"/>
      <c r="P334" s="6"/>
      <c r="Q334" s="6"/>
      <c r="R334" s="18"/>
      <c r="S334" s="9"/>
    </row>
    <row r="335" spans="1:19" ht="14.25" customHeight="1">
      <c r="A335" s="29"/>
      <c r="B335" s="6"/>
      <c r="C335" s="6"/>
      <c r="D335" s="6"/>
      <c r="E335" s="6"/>
      <c r="F335" s="6"/>
      <c r="G335" s="6"/>
      <c r="H335" s="6"/>
      <c r="I335" s="18"/>
      <c r="J335" s="6"/>
      <c r="K335" s="6"/>
      <c r="L335" s="9"/>
      <c r="M335" s="6"/>
      <c r="N335" s="6"/>
      <c r="O335" s="9"/>
      <c r="P335" s="6"/>
      <c r="Q335" s="6"/>
      <c r="R335" s="18"/>
      <c r="S335" s="9"/>
    </row>
    <row r="336" spans="1:19" ht="14.25" customHeight="1">
      <c r="A336" s="29"/>
      <c r="B336" s="6"/>
      <c r="C336" s="6"/>
      <c r="D336" s="6"/>
      <c r="E336" s="6"/>
      <c r="F336" s="6"/>
      <c r="G336" s="6"/>
      <c r="H336" s="6"/>
      <c r="I336" s="18"/>
      <c r="J336" s="6"/>
      <c r="K336" s="6"/>
      <c r="L336" s="9"/>
      <c r="M336" s="6"/>
      <c r="N336" s="6"/>
      <c r="O336" s="9"/>
      <c r="P336" s="6"/>
      <c r="Q336" s="6"/>
      <c r="R336" s="18"/>
      <c r="S336" s="9"/>
    </row>
    <row r="337" spans="1:19" ht="14.25" customHeight="1">
      <c r="A337" s="29"/>
      <c r="B337" s="6"/>
      <c r="C337" s="6"/>
      <c r="D337" s="6"/>
      <c r="E337" s="6"/>
      <c r="F337" s="6"/>
      <c r="G337" s="6"/>
      <c r="H337" s="6"/>
      <c r="I337" s="18"/>
      <c r="J337" s="6"/>
      <c r="K337" s="6"/>
      <c r="L337" s="9"/>
      <c r="M337" s="6"/>
      <c r="N337" s="6"/>
      <c r="O337" s="9"/>
      <c r="P337" s="6"/>
      <c r="Q337" s="6"/>
      <c r="R337" s="18"/>
      <c r="S337" s="9"/>
    </row>
    <row r="338" spans="1:19" ht="14.25" customHeight="1">
      <c r="A338" s="29"/>
      <c r="B338" s="6"/>
      <c r="C338" s="6"/>
      <c r="D338" s="6"/>
      <c r="E338" s="6"/>
      <c r="F338" s="6"/>
      <c r="G338" s="6"/>
      <c r="H338" s="6"/>
      <c r="I338" s="18"/>
      <c r="J338" s="6"/>
      <c r="K338" s="6"/>
      <c r="L338" s="9"/>
      <c r="M338" s="6"/>
      <c r="N338" s="6"/>
      <c r="O338" s="9"/>
      <c r="P338" s="6"/>
      <c r="Q338" s="6"/>
      <c r="R338" s="18"/>
      <c r="S338" s="9"/>
    </row>
    <row r="339" spans="1:19" ht="14.25" customHeight="1">
      <c r="A339" s="29"/>
      <c r="B339" s="6"/>
      <c r="C339" s="6"/>
      <c r="D339" s="6"/>
      <c r="E339" s="6"/>
      <c r="F339" s="6"/>
      <c r="G339" s="6"/>
      <c r="H339" s="6"/>
      <c r="I339" s="18"/>
      <c r="J339" s="6"/>
      <c r="K339" s="6"/>
      <c r="L339" s="9"/>
      <c r="M339" s="6"/>
      <c r="N339" s="6"/>
      <c r="O339" s="9"/>
      <c r="P339" s="6"/>
      <c r="Q339" s="6"/>
      <c r="R339" s="18"/>
      <c r="S339" s="9"/>
    </row>
    <row r="340" spans="1:19" ht="14.25" customHeight="1">
      <c r="A340" s="29"/>
      <c r="B340" s="6"/>
      <c r="C340" s="6"/>
      <c r="D340" s="6"/>
      <c r="E340" s="6"/>
      <c r="F340" s="6"/>
      <c r="G340" s="6"/>
      <c r="H340" s="6"/>
      <c r="I340" s="18"/>
      <c r="J340" s="6"/>
      <c r="K340" s="6"/>
      <c r="L340" s="9"/>
      <c r="M340" s="6"/>
      <c r="N340" s="6"/>
      <c r="O340" s="9"/>
      <c r="P340" s="6"/>
      <c r="Q340" s="6"/>
      <c r="R340" s="18"/>
      <c r="S340" s="9"/>
    </row>
    <row r="341" spans="1:19" ht="14.25" customHeight="1">
      <c r="A341" s="29"/>
      <c r="B341" s="6"/>
      <c r="C341" s="6"/>
      <c r="D341" s="6"/>
      <c r="E341" s="6"/>
      <c r="F341" s="6"/>
      <c r="G341" s="6"/>
      <c r="H341" s="6"/>
      <c r="I341" s="18"/>
      <c r="J341" s="6"/>
      <c r="K341" s="6"/>
      <c r="L341" s="9"/>
      <c r="M341" s="6"/>
      <c r="N341" s="6"/>
      <c r="O341" s="9"/>
      <c r="P341" s="6"/>
      <c r="Q341" s="6"/>
      <c r="R341" s="18"/>
      <c r="S341" s="9"/>
    </row>
    <row r="342" spans="1:19" ht="14.25" customHeight="1">
      <c r="A342" s="29"/>
      <c r="B342" s="6"/>
      <c r="C342" s="6"/>
      <c r="D342" s="6"/>
      <c r="E342" s="6"/>
      <c r="F342" s="6"/>
      <c r="G342" s="6"/>
      <c r="H342" s="6"/>
      <c r="I342" s="18"/>
      <c r="J342" s="6"/>
      <c r="K342" s="6"/>
      <c r="L342" s="9"/>
      <c r="M342" s="6"/>
      <c r="N342" s="6"/>
      <c r="O342" s="9"/>
      <c r="P342" s="6"/>
      <c r="Q342" s="6"/>
      <c r="R342" s="18"/>
      <c r="S342" s="9"/>
    </row>
    <row r="343" spans="1:19" ht="14.25" customHeight="1">
      <c r="A343" s="29"/>
      <c r="B343" s="6"/>
      <c r="C343" s="6"/>
      <c r="D343" s="6"/>
      <c r="E343" s="6"/>
      <c r="F343" s="6"/>
      <c r="G343" s="6"/>
      <c r="H343" s="6"/>
      <c r="I343" s="18"/>
      <c r="J343" s="6"/>
      <c r="K343" s="6"/>
      <c r="L343" s="9"/>
      <c r="M343" s="6"/>
      <c r="N343" s="6"/>
      <c r="O343" s="9"/>
      <c r="P343" s="6"/>
      <c r="Q343" s="6"/>
      <c r="R343" s="18"/>
      <c r="S343" s="9"/>
    </row>
    <row r="344" spans="1:19" ht="14.25" customHeight="1">
      <c r="A344" s="29"/>
      <c r="B344" s="6"/>
      <c r="C344" s="6"/>
      <c r="D344" s="6"/>
      <c r="E344" s="6"/>
      <c r="F344" s="6"/>
      <c r="G344" s="6"/>
      <c r="H344" s="6"/>
      <c r="I344" s="18"/>
      <c r="J344" s="6"/>
      <c r="K344" s="6"/>
      <c r="L344" s="9"/>
      <c r="M344" s="6"/>
      <c r="N344" s="6"/>
      <c r="O344" s="9"/>
      <c r="P344" s="6"/>
      <c r="Q344" s="6"/>
      <c r="R344" s="18"/>
      <c r="S344" s="9"/>
    </row>
    <row r="345" spans="1:19" ht="14.25" customHeight="1">
      <c r="A345" s="29"/>
      <c r="B345" s="6"/>
      <c r="C345" s="6"/>
      <c r="D345" s="6"/>
      <c r="E345" s="6"/>
      <c r="F345" s="6"/>
      <c r="G345" s="6"/>
      <c r="H345" s="6"/>
      <c r="I345" s="18"/>
      <c r="J345" s="6"/>
      <c r="K345" s="6"/>
      <c r="L345" s="9"/>
      <c r="M345" s="6"/>
      <c r="N345" s="6"/>
      <c r="O345" s="9"/>
      <c r="P345" s="6"/>
      <c r="Q345" s="6"/>
      <c r="R345" s="18"/>
      <c r="S345" s="9"/>
    </row>
    <row r="346" spans="1:19" ht="14.25" customHeight="1">
      <c r="A346" s="29"/>
      <c r="B346" s="6"/>
      <c r="C346" s="6"/>
      <c r="D346" s="6"/>
      <c r="E346" s="6"/>
      <c r="F346" s="6"/>
      <c r="G346" s="6"/>
      <c r="H346" s="6"/>
      <c r="I346" s="18"/>
      <c r="J346" s="6"/>
      <c r="K346" s="6"/>
      <c r="L346" s="9"/>
      <c r="M346" s="6"/>
      <c r="N346" s="6"/>
      <c r="O346" s="9"/>
      <c r="P346" s="6"/>
      <c r="Q346" s="6"/>
      <c r="R346" s="18"/>
      <c r="S346" s="9"/>
    </row>
    <row r="347" spans="1:19" ht="14.25" customHeight="1">
      <c r="A347" s="29"/>
      <c r="B347" s="6"/>
      <c r="C347" s="6"/>
      <c r="D347" s="6"/>
      <c r="E347" s="6"/>
      <c r="F347" s="6"/>
      <c r="G347" s="6"/>
      <c r="H347" s="6"/>
      <c r="I347" s="18"/>
      <c r="J347" s="6"/>
      <c r="K347" s="6"/>
      <c r="L347" s="9"/>
      <c r="M347" s="6"/>
      <c r="N347" s="6"/>
      <c r="O347" s="9"/>
      <c r="P347" s="6"/>
      <c r="Q347" s="6"/>
      <c r="R347" s="18"/>
      <c r="S347" s="9"/>
    </row>
    <row r="348" spans="1:19" ht="14.25" customHeight="1">
      <c r="A348" s="29"/>
      <c r="B348" s="6"/>
      <c r="C348" s="6"/>
      <c r="D348" s="6"/>
      <c r="E348" s="6"/>
      <c r="F348" s="6"/>
      <c r="G348" s="6"/>
      <c r="H348" s="6"/>
      <c r="I348" s="18"/>
      <c r="J348" s="6"/>
      <c r="K348" s="6"/>
      <c r="L348" s="9"/>
      <c r="M348" s="6"/>
      <c r="N348" s="6"/>
      <c r="O348" s="9"/>
      <c r="P348" s="6"/>
      <c r="Q348" s="6"/>
      <c r="R348" s="18"/>
      <c r="S348" s="9"/>
    </row>
    <row r="349" spans="1:19" ht="14.25" customHeight="1">
      <c r="A349" s="29"/>
      <c r="B349" s="6"/>
      <c r="C349" s="6"/>
      <c r="D349" s="6"/>
      <c r="E349" s="6"/>
      <c r="F349" s="6"/>
      <c r="G349" s="6"/>
      <c r="H349" s="6"/>
      <c r="I349" s="18"/>
      <c r="J349" s="6"/>
      <c r="K349" s="6"/>
      <c r="L349" s="9"/>
      <c r="M349" s="6"/>
      <c r="N349" s="6"/>
      <c r="O349" s="9"/>
      <c r="P349" s="6"/>
      <c r="Q349" s="6"/>
      <c r="R349" s="18"/>
      <c r="S349" s="9"/>
    </row>
    <row r="350" spans="1:19" ht="14.25" customHeight="1">
      <c r="A350" s="29"/>
      <c r="B350" s="6"/>
      <c r="C350" s="6"/>
      <c r="D350" s="6"/>
      <c r="E350" s="6"/>
      <c r="F350" s="6"/>
      <c r="G350" s="6"/>
      <c r="H350" s="6"/>
      <c r="I350" s="18"/>
      <c r="J350" s="6"/>
      <c r="K350" s="6"/>
      <c r="L350" s="9"/>
      <c r="M350" s="6"/>
      <c r="N350" s="6"/>
      <c r="O350" s="9"/>
      <c r="P350" s="6"/>
      <c r="Q350" s="6"/>
      <c r="R350" s="18"/>
      <c r="S350" s="9"/>
    </row>
    <row r="351" spans="1:19" ht="14.25" customHeight="1">
      <c r="A351" s="29"/>
      <c r="B351" s="6"/>
      <c r="C351" s="6"/>
      <c r="D351" s="6"/>
      <c r="E351" s="6"/>
      <c r="F351" s="6"/>
      <c r="G351" s="6"/>
      <c r="H351" s="6"/>
      <c r="I351" s="18"/>
      <c r="J351" s="6"/>
      <c r="K351" s="6"/>
      <c r="L351" s="9"/>
      <c r="M351" s="6"/>
      <c r="N351" s="6"/>
      <c r="O351" s="9"/>
      <c r="P351" s="6"/>
      <c r="Q351" s="6"/>
      <c r="R351" s="18"/>
      <c r="S351" s="9"/>
    </row>
    <row r="352" spans="1:19" ht="14.25" customHeight="1">
      <c r="A352" s="29"/>
      <c r="B352" s="6"/>
      <c r="C352" s="6"/>
      <c r="D352" s="6"/>
      <c r="E352" s="6"/>
      <c r="F352" s="6"/>
      <c r="G352" s="6"/>
      <c r="H352" s="6"/>
      <c r="I352" s="18"/>
      <c r="J352" s="6"/>
      <c r="K352" s="6"/>
      <c r="L352" s="9"/>
      <c r="M352" s="6"/>
      <c r="N352" s="6"/>
      <c r="O352" s="9"/>
      <c r="P352" s="6"/>
      <c r="Q352" s="6"/>
      <c r="R352" s="18"/>
      <c r="S352" s="9"/>
    </row>
    <row r="353" spans="1:19" ht="14.25" customHeight="1">
      <c r="A353" s="29"/>
      <c r="B353" s="6"/>
      <c r="C353" s="6"/>
      <c r="D353" s="6"/>
      <c r="E353" s="6"/>
      <c r="F353" s="6"/>
      <c r="G353" s="6"/>
      <c r="H353" s="6"/>
      <c r="I353" s="18"/>
      <c r="J353" s="6"/>
      <c r="K353" s="6"/>
      <c r="L353" s="9"/>
      <c r="M353" s="6"/>
      <c r="N353" s="6"/>
      <c r="O353" s="9"/>
      <c r="P353" s="6"/>
      <c r="Q353" s="6"/>
      <c r="R353" s="18"/>
      <c r="S353" s="9"/>
    </row>
    <row r="354" spans="1:19" ht="14.25" customHeight="1">
      <c r="A354" s="29"/>
      <c r="B354" s="6"/>
      <c r="C354" s="6"/>
      <c r="D354" s="6"/>
      <c r="E354" s="6"/>
      <c r="F354" s="6"/>
      <c r="G354" s="6"/>
      <c r="H354" s="6"/>
      <c r="I354" s="18"/>
      <c r="J354" s="6"/>
      <c r="K354" s="6"/>
      <c r="L354" s="9"/>
      <c r="M354" s="6"/>
      <c r="N354" s="6"/>
      <c r="O354" s="9"/>
      <c r="P354" s="6"/>
      <c r="Q354" s="6"/>
      <c r="R354" s="18"/>
      <c r="S354" s="9"/>
    </row>
    <row r="355" spans="1:19" ht="14.25" customHeight="1">
      <c r="A355" s="29"/>
      <c r="B355" s="6"/>
      <c r="C355" s="6"/>
      <c r="D355" s="6"/>
      <c r="E355" s="6"/>
      <c r="F355" s="6"/>
      <c r="G355" s="6"/>
      <c r="H355" s="6"/>
      <c r="I355" s="18"/>
      <c r="J355" s="6"/>
      <c r="K355" s="6"/>
      <c r="L355" s="9"/>
      <c r="M355" s="6"/>
      <c r="N355" s="6"/>
      <c r="O355" s="9"/>
      <c r="P355" s="6"/>
      <c r="Q355" s="6"/>
      <c r="R355" s="18"/>
      <c r="S355" s="9"/>
    </row>
    <row r="356" spans="1:19" ht="14.25" customHeight="1">
      <c r="A356" s="29"/>
      <c r="B356" s="6"/>
      <c r="C356" s="6"/>
      <c r="D356" s="6"/>
      <c r="E356" s="6"/>
      <c r="F356" s="6"/>
      <c r="G356" s="6"/>
      <c r="H356" s="6"/>
      <c r="I356" s="18"/>
      <c r="J356" s="6"/>
      <c r="K356" s="6"/>
      <c r="L356" s="9"/>
      <c r="M356" s="6"/>
      <c r="N356" s="6"/>
      <c r="O356" s="9"/>
      <c r="P356" s="6"/>
      <c r="Q356" s="6"/>
      <c r="R356" s="18"/>
      <c r="S356" s="9"/>
    </row>
    <row r="357" spans="1:19" ht="14.25" customHeight="1">
      <c r="A357" s="29"/>
      <c r="B357" s="6"/>
      <c r="C357" s="6"/>
      <c r="D357" s="6"/>
      <c r="E357" s="6"/>
      <c r="F357" s="6"/>
      <c r="G357" s="6"/>
      <c r="H357" s="6"/>
      <c r="I357" s="18"/>
      <c r="J357" s="6"/>
      <c r="K357" s="6"/>
      <c r="L357" s="9"/>
      <c r="M357" s="6"/>
      <c r="N357" s="6"/>
      <c r="O357" s="9"/>
      <c r="P357" s="6"/>
      <c r="Q357" s="6"/>
      <c r="R357" s="18"/>
      <c r="S357" s="9"/>
    </row>
    <row r="358" spans="1:19" ht="14.25" customHeight="1">
      <c r="A358" s="29"/>
      <c r="B358" s="6"/>
      <c r="C358" s="6"/>
      <c r="D358" s="6"/>
      <c r="E358" s="6"/>
      <c r="F358" s="6"/>
      <c r="G358" s="6"/>
      <c r="H358" s="6"/>
      <c r="I358" s="18"/>
      <c r="J358" s="6"/>
      <c r="K358" s="6"/>
      <c r="L358" s="9"/>
      <c r="M358" s="6"/>
      <c r="N358" s="6"/>
      <c r="O358" s="9"/>
      <c r="P358" s="6"/>
      <c r="Q358" s="6"/>
      <c r="R358" s="18"/>
      <c r="S358" s="9"/>
    </row>
    <row r="359" spans="1:19" ht="14.25" customHeight="1">
      <c r="A359" s="29"/>
      <c r="B359" s="6"/>
      <c r="C359" s="6"/>
      <c r="D359" s="6"/>
      <c r="E359" s="6"/>
      <c r="F359" s="6"/>
      <c r="G359" s="6"/>
      <c r="H359" s="6"/>
      <c r="I359" s="18"/>
      <c r="J359" s="6"/>
      <c r="K359" s="6"/>
      <c r="L359" s="9"/>
      <c r="M359" s="6"/>
      <c r="N359" s="6"/>
      <c r="O359" s="9"/>
      <c r="P359" s="6"/>
      <c r="Q359" s="6"/>
      <c r="R359" s="18"/>
      <c r="S359" s="9"/>
    </row>
    <row r="360" spans="1:19" ht="14.25" customHeight="1">
      <c r="A360" s="29"/>
      <c r="B360" s="6"/>
      <c r="C360" s="6"/>
      <c r="D360" s="6"/>
      <c r="E360" s="6"/>
      <c r="F360" s="6"/>
      <c r="G360" s="6"/>
      <c r="H360" s="6"/>
      <c r="I360" s="18"/>
      <c r="J360" s="6"/>
      <c r="K360" s="6"/>
      <c r="L360" s="9"/>
      <c r="M360" s="6"/>
      <c r="N360" s="6"/>
      <c r="O360" s="9"/>
      <c r="P360" s="6"/>
      <c r="Q360" s="6"/>
      <c r="R360" s="18"/>
      <c r="S360" s="9"/>
    </row>
    <row r="361" spans="1:19" ht="14.25" customHeight="1">
      <c r="A361" s="29"/>
      <c r="B361" s="6"/>
      <c r="C361" s="6"/>
      <c r="D361" s="6"/>
      <c r="E361" s="6"/>
      <c r="F361" s="6"/>
      <c r="G361" s="6"/>
      <c r="H361" s="6"/>
      <c r="I361" s="18"/>
      <c r="J361" s="6"/>
      <c r="K361" s="6"/>
      <c r="L361" s="9"/>
      <c r="M361" s="6"/>
      <c r="N361" s="6"/>
      <c r="O361" s="9"/>
      <c r="P361" s="6"/>
      <c r="Q361" s="6"/>
      <c r="R361" s="18"/>
      <c r="S361" s="9"/>
    </row>
    <row r="362" spans="1:19" ht="14.25" customHeight="1">
      <c r="A362" s="29"/>
      <c r="B362" s="6"/>
      <c r="C362" s="6"/>
      <c r="D362" s="6"/>
      <c r="E362" s="6"/>
      <c r="F362" s="6"/>
      <c r="G362" s="6"/>
      <c r="H362" s="6"/>
      <c r="I362" s="18"/>
      <c r="J362" s="6"/>
      <c r="K362" s="6"/>
      <c r="L362" s="9"/>
      <c r="M362" s="6"/>
      <c r="N362" s="6"/>
      <c r="O362" s="9"/>
      <c r="P362" s="6"/>
      <c r="Q362" s="6"/>
      <c r="R362" s="18"/>
      <c r="S362" s="9"/>
    </row>
    <row r="363" spans="1:19" ht="14.25" customHeight="1">
      <c r="A363" s="29"/>
      <c r="B363" s="6"/>
      <c r="C363" s="6"/>
      <c r="D363" s="6"/>
      <c r="E363" s="6"/>
      <c r="F363" s="6"/>
      <c r="G363" s="6"/>
      <c r="H363" s="6"/>
      <c r="I363" s="18"/>
      <c r="J363" s="6"/>
      <c r="K363" s="6"/>
      <c r="L363" s="9"/>
      <c r="M363" s="6"/>
      <c r="N363" s="6"/>
      <c r="O363" s="9"/>
      <c r="P363" s="6"/>
      <c r="Q363" s="6"/>
      <c r="R363" s="18"/>
      <c r="S363" s="9"/>
    </row>
    <row r="364" spans="1:19" ht="14.25" customHeight="1">
      <c r="A364" s="29"/>
      <c r="B364" s="6"/>
      <c r="C364" s="6"/>
      <c r="D364" s="6"/>
      <c r="E364" s="6"/>
      <c r="F364" s="6"/>
      <c r="G364" s="6"/>
      <c r="H364" s="6"/>
      <c r="I364" s="18"/>
      <c r="J364" s="6"/>
      <c r="K364" s="6"/>
      <c r="L364" s="9"/>
      <c r="M364" s="6"/>
      <c r="N364" s="6"/>
      <c r="O364" s="9"/>
      <c r="P364" s="6"/>
      <c r="Q364" s="6"/>
      <c r="R364" s="18"/>
      <c r="S364" s="9"/>
    </row>
    <row r="365" spans="1:19" ht="14.25" customHeight="1">
      <c r="A365" s="29"/>
      <c r="B365" s="6"/>
      <c r="C365" s="6"/>
      <c r="D365" s="6"/>
      <c r="E365" s="6"/>
      <c r="F365" s="6"/>
      <c r="G365" s="6"/>
      <c r="H365" s="6"/>
      <c r="I365" s="18"/>
      <c r="J365" s="6"/>
      <c r="K365" s="6"/>
      <c r="L365" s="9"/>
      <c r="M365" s="6"/>
      <c r="N365" s="6"/>
      <c r="O365" s="9"/>
      <c r="P365" s="6"/>
      <c r="Q365" s="6"/>
      <c r="R365" s="18"/>
      <c r="S365" s="9"/>
    </row>
    <row r="366" spans="1:19" ht="14.25" customHeight="1">
      <c r="A366" s="29"/>
      <c r="B366" s="6"/>
      <c r="C366" s="6"/>
      <c r="D366" s="6"/>
      <c r="E366" s="6"/>
      <c r="F366" s="6"/>
      <c r="G366" s="6"/>
      <c r="H366" s="6"/>
      <c r="I366" s="18"/>
      <c r="J366" s="6"/>
      <c r="K366" s="6"/>
      <c r="L366" s="9"/>
      <c r="M366" s="6"/>
      <c r="N366" s="6"/>
      <c r="O366" s="9"/>
      <c r="P366" s="6"/>
      <c r="Q366" s="6"/>
      <c r="R366" s="18"/>
      <c r="S366" s="9"/>
    </row>
    <row r="367" spans="1:19" ht="14.25" customHeight="1">
      <c r="A367" s="29"/>
      <c r="B367" s="6"/>
      <c r="C367" s="6"/>
      <c r="D367" s="6"/>
      <c r="E367" s="6"/>
      <c r="F367" s="6"/>
      <c r="G367" s="6"/>
      <c r="H367" s="6"/>
      <c r="I367" s="18"/>
      <c r="J367" s="6"/>
      <c r="K367" s="6"/>
      <c r="L367" s="9"/>
      <c r="M367" s="6"/>
      <c r="N367" s="6"/>
      <c r="O367" s="9"/>
      <c r="P367" s="6"/>
      <c r="Q367" s="6"/>
      <c r="R367" s="18"/>
      <c r="S367" s="9"/>
    </row>
    <row r="368" spans="1:19" ht="14.25" customHeight="1">
      <c r="A368" s="29"/>
      <c r="B368" s="6"/>
      <c r="C368" s="6"/>
      <c r="D368" s="6"/>
      <c r="E368" s="6"/>
      <c r="F368" s="6"/>
      <c r="G368" s="6"/>
      <c r="H368" s="6"/>
      <c r="I368" s="18"/>
      <c r="J368" s="6"/>
      <c r="K368" s="6"/>
      <c r="L368" s="9"/>
      <c r="M368" s="6"/>
      <c r="N368" s="6"/>
      <c r="O368" s="9"/>
      <c r="P368" s="6"/>
      <c r="Q368" s="6"/>
      <c r="R368" s="18"/>
      <c r="S368" s="9"/>
    </row>
    <row r="369" spans="1:19" ht="14.25" customHeight="1">
      <c r="A369" s="29"/>
      <c r="B369" s="6"/>
      <c r="C369" s="6"/>
      <c r="D369" s="6"/>
      <c r="E369" s="6"/>
      <c r="F369" s="6"/>
      <c r="G369" s="6"/>
      <c r="H369" s="6"/>
      <c r="I369" s="18"/>
      <c r="J369" s="6"/>
      <c r="K369" s="6"/>
      <c r="L369" s="9"/>
      <c r="M369" s="6"/>
      <c r="N369" s="6"/>
      <c r="O369" s="9"/>
      <c r="P369" s="6"/>
      <c r="Q369" s="6"/>
      <c r="R369" s="18"/>
      <c r="S369" s="9"/>
    </row>
    <row r="370" spans="1:19" ht="14.25" customHeight="1">
      <c r="A370" s="29"/>
      <c r="B370" s="6"/>
      <c r="C370" s="6"/>
      <c r="D370" s="6"/>
      <c r="E370" s="6"/>
      <c r="F370" s="6"/>
      <c r="G370" s="6"/>
      <c r="H370" s="6"/>
      <c r="I370" s="18"/>
      <c r="J370" s="6"/>
      <c r="K370" s="6"/>
      <c r="L370" s="9"/>
      <c r="M370" s="6"/>
      <c r="N370" s="6"/>
      <c r="O370" s="9"/>
      <c r="P370" s="6"/>
      <c r="Q370" s="6"/>
      <c r="R370" s="18"/>
      <c r="S370" s="9"/>
    </row>
    <row r="371" spans="1:19" ht="14.25" customHeight="1">
      <c r="A371" s="29"/>
      <c r="B371" s="6"/>
      <c r="C371" s="6"/>
      <c r="D371" s="6"/>
      <c r="E371" s="6"/>
      <c r="F371" s="6"/>
      <c r="G371" s="6"/>
      <c r="H371" s="6"/>
      <c r="I371" s="18"/>
      <c r="J371" s="6"/>
      <c r="K371" s="6"/>
      <c r="L371" s="9"/>
      <c r="M371" s="6"/>
      <c r="N371" s="6"/>
      <c r="O371" s="9"/>
      <c r="P371" s="6"/>
      <c r="Q371" s="6"/>
      <c r="R371" s="18"/>
      <c r="S371" s="9"/>
    </row>
    <row r="372" spans="1:19" ht="14.25" customHeight="1">
      <c r="A372" s="29"/>
      <c r="B372" s="6"/>
      <c r="C372" s="6"/>
      <c r="D372" s="6"/>
      <c r="E372" s="6"/>
      <c r="F372" s="6"/>
      <c r="G372" s="6"/>
      <c r="H372" s="6"/>
      <c r="I372" s="18"/>
      <c r="J372" s="6"/>
      <c r="K372" s="6"/>
      <c r="L372" s="9"/>
      <c r="M372" s="6"/>
      <c r="N372" s="6"/>
      <c r="O372" s="9"/>
      <c r="P372" s="6"/>
      <c r="Q372" s="6"/>
      <c r="R372" s="18"/>
      <c r="S372" s="9"/>
    </row>
    <row r="373" spans="1:19" ht="14.25" customHeight="1">
      <c r="A373" s="29"/>
      <c r="B373" s="6"/>
      <c r="C373" s="6"/>
      <c r="D373" s="6"/>
      <c r="E373" s="6"/>
      <c r="F373" s="6"/>
      <c r="G373" s="6"/>
      <c r="H373" s="6"/>
      <c r="I373" s="18"/>
      <c r="J373" s="6"/>
      <c r="K373" s="6"/>
      <c r="L373" s="9"/>
      <c r="M373" s="6"/>
      <c r="N373" s="6"/>
      <c r="O373" s="9"/>
      <c r="P373" s="6"/>
      <c r="Q373" s="6"/>
      <c r="R373" s="18"/>
      <c r="S373" s="9"/>
    </row>
    <row r="374" spans="1:19" ht="14.25" customHeight="1">
      <c r="A374" s="29"/>
      <c r="B374" s="6"/>
      <c r="C374" s="6"/>
      <c r="D374" s="6"/>
      <c r="E374" s="6"/>
      <c r="F374" s="6"/>
      <c r="G374" s="6"/>
      <c r="H374" s="6"/>
      <c r="I374" s="18"/>
      <c r="J374" s="6"/>
      <c r="K374" s="6"/>
      <c r="L374" s="9"/>
      <c r="M374" s="6"/>
      <c r="N374" s="6"/>
      <c r="O374" s="9"/>
      <c r="P374" s="6"/>
      <c r="Q374" s="6"/>
      <c r="R374" s="18"/>
      <c r="S374" s="9"/>
    </row>
    <row r="375" spans="1:19" ht="14.25" customHeight="1">
      <c r="A375" s="29"/>
      <c r="B375" s="6"/>
      <c r="C375" s="6"/>
      <c r="D375" s="6"/>
      <c r="E375" s="6"/>
      <c r="F375" s="6"/>
      <c r="G375" s="6"/>
      <c r="H375" s="6"/>
      <c r="I375" s="18"/>
      <c r="J375" s="6"/>
      <c r="K375" s="6"/>
      <c r="L375" s="9"/>
      <c r="M375" s="6"/>
      <c r="N375" s="6"/>
      <c r="O375" s="9"/>
      <c r="P375" s="6"/>
      <c r="Q375" s="6"/>
      <c r="R375" s="18"/>
      <c r="S375" s="9"/>
    </row>
    <row r="376" spans="1:19" ht="14.25" customHeight="1">
      <c r="A376" s="29"/>
      <c r="B376" s="6"/>
      <c r="C376" s="6"/>
      <c r="D376" s="6"/>
      <c r="E376" s="6"/>
      <c r="F376" s="6"/>
      <c r="G376" s="6"/>
      <c r="H376" s="6"/>
      <c r="I376" s="18"/>
      <c r="J376" s="6"/>
      <c r="K376" s="6"/>
      <c r="L376" s="9"/>
      <c r="M376" s="6"/>
      <c r="N376" s="6"/>
      <c r="O376" s="9"/>
      <c r="P376" s="6"/>
      <c r="Q376" s="6"/>
      <c r="R376" s="18"/>
      <c r="S376" s="9"/>
    </row>
    <row r="377" spans="1:19" ht="14.25" customHeight="1">
      <c r="A377" s="29"/>
      <c r="B377" s="6"/>
      <c r="C377" s="6"/>
      <c r="D377" s="6"/>
      <c r="E377" s="6"/>
      <c r="F377" s="6"/>
      <c r="G377" s="6"/>
      <c r="H377" s="6"/>
      <c r="I377" s="18"/>
      <c r="J377" s="6"/>
      <c r="K377" s="6"/>
      <c r="L377" s="9"/>
      <c r="M377" s="6"/>
      <c r="N377" s="6"/>
      <c r="O377" s="9"/>
      <c r="P377" s="6"/>
      <c r="Q377" s="6"/>
      <c r="R377" s="18"/>
      <c r="S377" s="9"/>
    </row>
    <row r="378" spans="1:19" ht="14.25" customHeight="1">
      <c r="A378" s="29"/>
      <c r="B378" s="6"/>
      <c r="C378" s="6"/>
      <c r="D378" s="6"/>
      <c r="E378" s="6"/>
      <c r="F378" s="6"/>
      <c r="G378" s="6"/>
      <c r="H378" s="6"/>
      <c r="I378" s="18"/>
      <c r="J378" s="6"/>
      <c r="K378" s="6"/>
      <c r="L378" s="9"/>
      <c r="M378" s="6"/>
      <c r="N378" s="6"/>
      <c r="O378" s="9"/>
      <c r="P378" s="6"/>
      <c r="Q378" s="6"/>
      <c r="R378" s="18"/>
      <c r="S378" s="9"/>
    </row>
    <row r="379" spans="1:19" ht="14.25" customHeight="1">
      <c r="A379" s="29"/>
      <c r="B379" s="6"/>
      <c r="C379" s="6"/>
      <c r="D379" s="6"/>
      <c r="E379" s="6"/>
      <c r="F379" s="6"/>
      <c r="G379" s="6"/>
      <c r="H379" s="6"/>
      <c r="I379" s="18"/>
      <c r="J379" s="6"/>
      <c r="K379" s="6"/>
      <c r="L379" s="9"/>
      <c r="M379" s="6"/>
      <c r="N379" s="6"/>
      <c r="O379" s="9"/>
      <c r="P379" s="6"/>
      <c r="Q379" s="6"/>
      <c r="R379" s="18"/>
      <c r="S379" s="9"/>
    </row>
    <row r="380" spans="1:19" ht="14.25" customHeight="1">
      <c r="A380" s="29"/>
      <c r="B380" s="6"/>
      <c r="C380" s="6"/>
      <c r="D380" s="6"/>
      <c r="E380" s="6"/>
      <c r="F380" s="6"/>
      <c r="G380" s="6"/>
      <c r="H380" s="6"/>
      <c r="I380" s="18"/>
      <c r="J380" s="6"/>
      <c r="K380" s="6"/>
      <c r="L380" s="9"/>
      <c r="M380" s="6"/>
      <c r="N380" s="6"/>
      <c r="O380" s="9"/>
      <c r="P380" s="6"/>
      <c r="Q380" s="6"/>
      <c r="R380" s="18"/>
      <c r="S380" s="9"/>
    </row>
    <row r="381" spans="1:19" ht="14.25" customHeight="1">
      <c r="A381" s="29"/>
      <c r="B381" s="6"/>
      <c r="C381" s="6"/>
      <c r="D381" s="6"/>
      <c r="E381" s="6"/>
      <c r="F381" s="6"/>
      <c r="G381" s="6"/>
      <c r="H381" s="6"/>
      <c r="I381" s="18"/>
      <c r="J381" s="6"/>
      <c r="K381" s="6"/>
      <c r="L381" s="9"/>
      <c r="M381" s="6"/>
      <c r="N381" s="6"/>
      <c r="O381" s="9"/>
      <c r="P381" s="6"/>
      <c r="Q381" s="6"/>
      <c r="R381" s="18"/>
      <c r="S381" s="9"/>
    </row>
    <row r="382" spans="1:19" ht="14.25" customHeight="1">
      <c r="A382" s="29"/>
      <c r="B382" s="6"/>
      <c r="C382" s="6"/>
      <c r="D382" s="6"/>
      <c r="E382" s="6"/>
      <c r="F382" s="6"/>
      <c r="G382" s="6"/>
      <c r="H382" s="6"/>
      <c r="I382" s="18"/>
      <c r="J382" s="6"/>
      <c r="K382" s="6"/>
      <c r="L382" s="9"/>
      <c r="M382" s="6"/>
      <c r="N382" s="6"/>
      <c r="O382" s="9"/>
      <c r="P382" s="6"/>
      <c r="Q382" s="6"/>
      <c r="R382" s="18"/>
      <c r="S382" s="9"/>
    </row>
    <row r="383" spans="1:19" ht="14.25" customHeight="1">
      <c r="A383" s="29"/>
      <c r="B383" s="6"/>
      <c r="C383" s="6"/>
      <c r="D383" s="6"/>
      <c r="E383" s="6"/>
      <c r="F383" s="6"/>
      <c r="G383" s="6"/>
      <c r="H383" s="6"/>
      <c r="I383" s="18"/>
      <c r="J383" s="6"/>
      <c r="K383" s="6"/>
      <c r="L383" s="9"/>
      <c r="M383" s="6"/>
      <c r="N383" s="6"/>
      <c r="O383" s="9"/>
      <c r="P383" s="6"/>
      <c r="Q383" s="6"/>
      <c r="R383" s="18"/>
      <c r="S383" s="9"/>
    </row>
    <row r="384" spans="1:19" ht="14.25" customHeight="1">
      <c r="A384" s="29"/>
      <c r="B384" s="6"/>
      <c r="C384" s="6"/>
      <c r="D384" s="6"/>
      <c r="E384" s="6"/>
      <c r="F384" s="6"/>
      <c r="G384" s="6"/>
      <c r="H384" s="6"/>
      <c r="I384" s="18"/>
      <c r="J384" s="6"/>
      <c r="K384" s="6"/>
      <c r="L384" s="9"/>
      <c r="M384" s="6"/>
      <c r="N384" s="6"/>
      <c r="O384" s="9"/>
      <c r="P384" s="6"/>
      <c r="Q384" s="6"/>
      <c r="R384" s="18"/>
      <c r="S384" s="9"/>
    </row>
    <row r="385" spans="1:19" ht="14.25" customHeight="1">
      <c r="A385" s="29"/>
      <c r="B385" s="6"/>
      <c r="C385" s="6"/>
      <c r="D385" s="6"/>
      <c r="E385" s="6"/>
      <c r="F385" s="6"/>
      <c r="G385" s="6"/>
      <c r="H385" s="6"/>
      <c r="I385" s="18"/>
      <c r="J385" s="6"/>
      <c r="K385" s="6"/>
      <c r="L385" s="9"/>
      <c r="M385" s="6"/>
      <c r="N385" s="6"/>
      <c r="O385" s="9"/>
      <c r="P385" s="6"/>
      <c r="Q385" s="6"/>
      <c r="R385" s="18"/>
      <c r="S385" s="9"/>
    </row>
    <row r="386" spans="1:19" ht="14.25" customHeight="1">
      <c r="A386" s="29"/>
      <c r="B386" s="6"/>
      <c r="C386" s="6"/>
      <c r="D386" s="6"/>
      <c r="E386" s="6"/>
      <c r="F386" s="6"/>
      <c r="G386" s="6"/>
      <c r="H386" s="6"/>
      <c r="I386" s="18"/>
      <c r="J386" s="6"/>
      <c r="K386" s="6"/>
      <c r="L386" s="9"/>
      <c r="M386" s="6"/>
      <c r="N386" s="6"/>
      <c r="O386" s="9"/>
      <c r="P386" s="6"/>
      <c r="Q386" s="6"/>
      <c r="R386" s="18"/>
      <c r="S386" s="9"/>
    </row>
    <row r="387" spans="1:19" ht="14.25" customHeight="1">
      <c r="A387" s="29"/>
      <c r="B387" s="6"/>
      <c r="C387" s="6"/>
      <c r="D387" s="6"/>
      <c r="E387" s="6"/>
      <c r="F387" s="6"/>
      <c r="G387" s="6"/>
      <c r="H387" s="6"/>
      <c r="I387" s="18"/>
      <c r="J387" s="6"/>
      <c r="K387" s="6"/>
      <c r="L387" s="9"/>
      <c r="M387" s="6"/>
      <c r="N387" s="6"/>
      <c r="O387" s="9"/>
      <c r="P387" s="6"/>
      <c r="Q387" s="6"/>
      <c r="R387" s="18"/>
      <c r="S387" s="9"/>
    </row>
    <row r="388" spans="1:19" ht="14.25" customHeight="1">
      <c r="A388" s="29"/>
      <c r="B388" s="6"/>
      <c r="C388" s="6"/>
      <c r="D388" s="6"/>
      <c r="E388" s="6"/>
      <c r="F388" s="6"/>
      <c r="G388" s="6"/>
      <c r="H388" s="6"/>
      <c r="I388" s="18"/>
      <c r="J388" s="6"/>
      <c r="K388" s="6"/>
      <c r="L388" s="9"/>
      <c r="M388" s="6"/>
      <c r="N388" s="6"/>
      <c r="O388" s="9"/>
      <c r="P388" s="6"/>
      <c r="Q388" s="6"/>
      <c r="R388" s="18"/>
      <c r="S388" s="9"/>
    </row>
    <row r="389" spans="1:19" ht="14.25" customHeight="1">
      <c r="A389" s="29"/>
      <c r="B389" s="6"/>
      <c r="C389" s="6"/>
      <c r="D389" s="6"/>
      <c r="E389" s="6"/>
      <c r="F389" s="6"/>
      <c r="G389" s="6"/>
      <c r="H389" s="6"/>
      <c r="I389" s="18"/>
      <c r="J389" s="6"/>
      <c r="K389" s="6"/>
      <c r="L389" s="9"/>
      <c r="M389" s="6"/>
      <c r="N389" s="6"/>
      <c r="O389" s="9"/>
      <c r="P389" s="6"/>
      <c r="Q389" s="6"/>
      <c r="R389" s="18"/>
      <c r="S389" s="9"/>
    </row>
    <row r="390" spans="1:19" ht="14.25" customHeight="1">
      <c r="A390" s="29"/>
      <c r="B390" s="6"/>
      <c r="C390" s="6"/>
      <c r="D390" s="6"/>
      <c r="E390" s="6"/>
      <c r="F390" s="6"/>
      <c r="G390" s="6"/>
      <c r="H390" s="6"/>
      <c r="I390" s="18"/>
      <c r="J390" s="6"/>
      <c r="K390" s="6"/>
      <c r="L390" s="9"/>
      <c r="M390" s="6"/>
      <c r="N390" s="6"/>
      <c r="O390" s="9"/>
      <c r="P390" s="6"/>
      <c r="Q390" s="6"/>
      <c r="R390" s="18"/>
      <c r="S390" s="9"/>
    </row>
    <row r="391" spans="1:19" ht="14.25" customHeight="1">
      <c r="A391" s="29"/>
      <c r="B391" s="6"/>
      <c r="C391" s="6"/>
      <c r="D391" s="6"/>
      <c r="E391" s="6"/>
      <c r="F391" s="6"/>
      <c r="G391" s="6"/>
      <c r="H391" s="6"/>
      <c r="I391" s="18"/>
      <c r="J391" s="6"/>
      <c r="K391" s="6"/>
      <c r="L391" s="9"/>
      <c r="M391" s="6"/>
      <c r="N391" s="6"/>
      <c r="O391" s="9"/>
      <c r="P391" s="6"/>
      <c r="Q391" s="6"/>
      <c r="R391" s="18"/>
      <c r="S391" s="9"/>
    </row>
    <row r="392" spans="1:19" ht="14.25" customHeight="1">
      <c r="A392" s="29"/>
      <c r="B392" s="6"/>
      <c r="C392" s="6"/>
      <c r="D392" s="6"/>
      <c r="E392" s="6"/>
      <c r="F392" s="6"/>
      <c r="G392" s="6"/>
      <c r="H392" s="6"/>
      <c r="I392" s="18"/>
      <c r="J392" s="6"/>
      <c r="K392" s="6"/>
      <c r="L392" s="9"/>
      <c r="M392" s="6"/>
      <c r="N392" s="6"/>
      <c r="O392" s="9"/>
      <c r="P392" s="6"/>
      <c r="Q392" s="6"/>
      <c r="R392" s="18"/>
      <c r="S392" s="9"/>
    </row>
    <row r="393" spans="1:19" ht="14.25" customHeight="1">
      <c r="A393" s="29"/>
      <c r="B393" s="6"/>
      <c r="C393" s="6"/>
      <c r="D393" s="6"/>
      <c r="E393" s="6"/>
      <c r="F393" s="6"/>
      <c r="G393" s="6"/>
      <c r="H393" s="6"/>
      <c r="I393" s="18"/>
      <c r="J393" s="6"/>
      <c r="K393" s="6"/>
      <c r="L393" s="9"/>
      <c r="M393" s="6"/>
      <c r="N393" s="6"/>
      <c r="O393" s="9"/>
      <c r="P393" s="6"/>
      <c r="Q393" s="6"/>
      <c r="R393" s="18"/>
      <c r="S393" s="9"/>
    </row>
    <row r="394" spans="1:19" ht="14.25" customHeight="1">
      <c r="A394" s="29"/>
      <c r="B394" s="6"/>
      <c r="C394" s="6"/>
      <c r="D394" s="6"/>
      <c r="E394" s="6"/>
      <c r="F394" s="6"/>
      <c r="G394" s="6"/>
      <c r="H394" s="6"/>
      <c r="I394" s="18"/>
      <c r="J394" s="6"/>
      <c r="K394" s="6"/>
      <c r="L394" s="9"/>
      <c r="M394" s="6"/>
      <c r="N394" s="6"/>
      <c r="O394" s="9"/>
      <c r="P394" s="6"/>
      <c r="Q394" s="6"/>
      <c r="R394" s="18"/>
      <c r="S394" s="9"/>
    </row>
    <row r="395" spans="1:19" ht="14.25" customHeight="1">
      <c r="A395" s="29"/>
      <c r="B395" s="6"/>
      <c r="C395" s="6"/>
      <c r="D395" s="6"/>
      <c r="E395" s="6"/>
      <c r="F395" s="6"/>
      <c r="G395" s="6"/>
      <c r="H395" s="6"/>
      <c r="I395" s="18"/>
      <c r="J395" s="6"/>
      <c r="K395" s="6"/>
      <c r="L395" s="9"/>
      <c r="M395" s="6"/>
      <c r="N395" s="6"/>
      <c r="O395" s="9"/>
      <c r="P395" s="6"/>
      <c r="Q395" s="6"/>
      <c r="R395" s="18"/>
      <c r="S395" s="9"/>
    </row>
    <row r="396" spans="1:19" ht="14.25" customHeight="1">
      <c r="A396" s="29"/>
      <c r="B396" s="6"/>
      <c r="C396" s="6"/>
      <c r="D396" s="6"/>
      <c r="E396" s="6"/>
      <c r="F396" s="6"/>
      <c r="G396" s="6"/>
      <c r="H396" s="6"/>
      <c r="I396" s="18"/>
      <c r="J396" s="6"/>
      <c r="K396" s="6"/>
      <c r="L396" s="9"/>
      <c r="M396" s="6"/>
      <c r="N396" s="6"/>
      <c r="O396" s="9"/>
      <c r="P396" s="6"/>
      <c r="Q396" s="6"/>
      <c r="R396" s="18"/>
      <c r="S396" s="9"/>
    </row>
    <row r="397" spans="1:19" ht="14.25" customHeight="1">
      <c r="A397" s="29"/>
      <c r="B397" s="6"/>
      <c r="C397" s="6"/>
      <c r="D397" s="6"/>
      <c r="E397" s="6"/>
      <c r="F397" s="6"/>
      <c r="G397" s="6"/>
      <c r="H397" s="6"/>
      <c r="I397" s="18"/>
      <c r="J397" s="6"/>
      <c r="K397" s="6"/>
      <c r="L397" s="9"/>
      <c r="M397" s="6"/>
      <c r="N397" s="6"/>
      <c r="O397" s="9"/>
      <c r="P397" s="6"/>
      <c r="Q397" s="6"/>
      <c r="R397" s="18"/>
      <c r="S397" s="9"/>
    </row>
    <row r="398" spans="1:19" ht="14.25" customHeight="1">
      <c r="A398" s="29"/>
      <c r="B398" s="6"/>
      <c r="C398" s="6"/>
      <c r="D398" s="6"/>
      <c r="E398" s="6"/>
      <c r="F398" s="6"/>
      <c r="G398" s="6"/>
      <c r="H398" s="6"/>
      <c r="I398" s="18"/>
      <c r="J398" s="6"/>
      <c r="K398" s="6"/>
      <c r="L398" s="9"/>
      <c r="M398" s="6"/>
      <c r="N398" s="6"/>
      <c r="O398" s="9"/>
      <c r="P398" s="6"/>
      <c r="Q398" s="6"/>
      <c r="R398" s="18"/>
      <c r="S398" s="9"/>
    </row>
    <row r="399" spans="1:19" ht="14.25" customHeight="1">
      <c r="A399" s="29"/>
      <c r="B399" s="6"/>
      <c r="C399" s="6"/>
      <c r="D399" s="6"/>
      <c r="E399" s="6"/>
      <c r="F399" s="6"/>
      <c r="G399" s="6"/>
      <c r="H399" s="6"/>
      <c r="I399" s="18"/>
      <c r="J399" s="6"/>
      <c r="K399" s="6"/>
      <c r="L399" s="9"/>
      <c r="M399" s="6"/>
      <c r="N399" s="6"/>
      <c r="O399" s="9"/>
      <c r="P399" s="6"/>
      <c r="Q399" s="6"/>
      <c r="R399" s="18"/>
      <c r="S399" s="9"/>
    </row>
    <row r="400" spans="1:19" ht="14.25" customHeight="1">
      <c r="A400" s="29"/>
      <c r="B400" s="6"/>
      <c r="C400" s="6"/>
      <c r="D400" s="6"/>
      <c r="E400" s="6"/>
      <c r="F400" s="6"/>
      <c r="G400" s="6"/>
      <c r="H400" s="6"/>
      <c r="I400" s="18"/>
      <c r="J400" s="6"/>
      <c r="K400" s="6"/>
      <c r="L400" s="9"/>
      <c r="M400" s="6"/>
      <c r="N400" s="6"/>
      <c r="O400" s="9"/>
      <c r="P400" s="6"/>
      <c r="Q400" s="6"/>
      <c r="R400" s="18"/>
      <c r="S400" s="9"/>
    </row>
    <row r="401" spans="1:19" ht="14.25" customHeight="1">
      <c r="A401" s="29"/>
      <c r="B401" s="6"/>
      <c r="C401" s="6"/>
      <c r="D401" s="6"/>
      <c r="E401" s="6"/>
      <c r="F401" s="6"/>
      <c r="G401" s="6"/>
      <c r="H401" s="6"/>
      <c r="I401" s="18"/>
      <c r="J401" s="6"/>
      <c r="K401" s="6"/>
      <c r="L401" s="9"/>
      <c r="M401" s="6"/>
      <c r="N401" s="6"/>
      <c r="O401" s="9"/>
      <c r="P401" s="6"/>
      <c r="Q401" s="6"/>
      <c r="R401" s="18"/>
      <c r="S401" s="9"/>
    </row>
    <row r="402" spans="1:19" ht="14.25" customHeight="1">
      <c r="A402" s="29"/>
      <c r="B402" s="6"/>
      <c r="C402" s="6"/>
      <c r="D402" s="6"/>
      <c r="E402" s="6"/>
      <c r="F402" s="6"/>
      <c r="G402" s="6"/>
      <c r="H402" s="6"/>
      <c r="I402" s="18"/>
      <c r="J402" s="6"/>
      <c r="K402" s="6"/>
      <c r="L402" s="9"/>
      <c r="M402" s="6"/>
      <c r="N402" s="6"/>
      <c r="O402" s="9"/>
      <c r="P402" s="6"/>
      <c r="Q402" s="6"/>
      <c r="R402" s="18"/>
      <c r="S402" s="9"/>
    </row>
    <row r="403" spans="1:19" ht="14.25" customHeight="1">
      <c r="A403" s="29"/>
      <c r="B403" s="6"/>
      <c r="C403" s="6"/>
      <c r="D403" s="6"/>
      <c r="E403" s="6"/>
      <c r="F403" s="6"/>
      <c r="G403" s="6"/>
      <c r="H403" s="6"/>
      <c r="I403" s="18"/>
      <c r="J403" s="6"/>
      <c r="K403" s="6"/>
      <c r="L403" s="9"/>
      <c r="M403" s="6"/>
      <c r="N403" s="6"/>
      <c r="O403" s="9"/>
      <c r="P403" s="6"/>
      <c r="Q403" s="6"/>
      <c r="R403" s="18"/>
      <c r="S403" s="9"/>
    </row>
    <row r="404" spans="1:19" ht="14.25" customHeight="1">
      <c r="A404" s="29"/>
      <c r="B404" s="6"/>
      <c r="C404" s="6"/>
      <c r="D404" s="6"/>
      <c r="E404" s="6"/>
      <c r="F404" s="6"/>
      <c r="G404" s="6"/>
      <c r="H404" s="6"/>
      <c r="I404" s="18"/>
      <c r="J404" s="6"/>
      <c r="K404" s="6"/>
      <c r="L404" s="9"/>
      <c r="M404" s="6"/>
      <c r="N404" s="6"/>
      <c r="O404" s="9"/>
      <c r="P404" s="6"/>
      <c r="Q404" s="6"/>
      <c r="R404" s="18"/>
      <c r="S404" s="9"/>
    </row>
    <row r="405" spans="1:19" ht="14.25" customHeight="1">
      <c r="A405" s="29"/>
      <c r="B405" s="6"/>
      <c r="C405" s="6"/>
      <c r="D405" s="6"/>
      <c r="E405" s="6"/>
      <c r="F405" s="6"/>
      <c r="G405" s="6"/>
      <c r="H405" s="6"/>
      <c r="I405" s="18"/>
      <c r="J405" s="6"/>
      <c r="K405" s="6"/>
      <c r="L405" s="9"/>
      <c r="M405" s="6"/>
      <c r="N405" s="6"/>
      <c r="O405" s="9"/>
      <c r="P405" s="6"/>
      <c r="Q405" s="6"/>
      <c r="R405" s="18"/>
      <c r="S405" s="9"/>
    </row>
    <row r="406" spans="1:19" ht="14.25" customHeight="1">
      <c r="A406" s="29"/>
      <c r="B406" s="6"/>
      <c r="C406" s="6"/>
      <c r="D406" s="6"/>
      <c r="E406" s="6"/>
      <c r="F406" s="6"/>
      <c r="G406" s="6"/>
      <c r="H406" s="6"/>
      <c r="I406" s="18"/>
      <c r="J406" s="6"/>
      <c r="K406" s="6"/>
      <c r="L406" s="9"/>
      <c r="M406" s="6"/>
      <c r="N406" s="6"/>
      <c r="O406" s="9"/>
      <c r="P406" s="6"/>
      <c r="Q406" s="6"/>
      <c r="R406" s="18"/>
      <c r="S406" s="9"/>
    </row>
    <row r="407" spans="1:19" ht="14.25" customHeight="1">
      <c r="A407" s="29"/>
      <c r="B407" s="6"/>
      <c r="C407" s="6"/>
      <c r="D407" s="6"/>
      <c r="E407" s="6"/>
      <c r="F407" s="6"/>
      <c r="G407" s="6"/>
      <c r="H407" s="6"/>
      <c r="I407" s="18"/>
      <c r="J407" s="6"/>
      <c r="K407" s="6"/>
      <c r="L407" s="9"/>
      <c r="M407" s="6"/>
      <c r="N407" s="6"/>
      <c r="O407" s="9"/>
      <c r="P407" s="6"/>
      <c r="Q407" s="6"/>
      <c r="R407" s="18"/>
      <c r="S407" s="9"/>
    </row>
    <row r="408" spans="1:19" ht="14.25" customHeight="1">
      <c r="A408" s="29"/>
      <c r="B408" s="6"/>
      <c r="C408" s="6"/>
      <c r="D408" s="6"/>
      <c r="E408" s="6"/>
      <c r="F408" s="6"/>
      <c r="G408" s="6"/>
      <c r="H408" s="6"/>
      <c r="I408" s="18"/>
      <c r="J408" s="6"/>
      <c r="K408" s="6"/>
      <c r="L408" s="9"/>
      <c r="M408" s="6"/>
      <c r="N408" s="6"/>
      <c r="O408" s="9"/>
      <c r="P408" s="6"/>
      <c r="Q408" s="6"/>
      <c r="R408" s="18"/>
      <c r="S408" s="9"/>
    </row>
    <row r="409" spans="1:19" ht="14.25" customHeight="1">
      <c r="A409" s="29"/>
      <c r="B409" s="6"/>
      <c r="C409" s="6"/>
      <c r="D409" s="6"/>
      <c r="E409" s="6"/>
      <c r="F409" s="6"/>
      <c r="G409" s="6"/>
      <c r="H409" s="6"/>
      <c r="I409" s="18"/>
      <c r="J409" s="6"/>
      <c r="K409" s="6"/>
      <c r="L409" s="9"/>
      <c r="M409" s="6"/>
      <c r="N409" s="6"/>
      <c r="O409" s="9"/>
      <c r="P409" s="6"/>
      <c r="Q409" s="6"/>
      <c r="R409" s="18"/>
      <c r="S409" s="9"/>
    </row>
    <row r="410" spans="1:19" ht="14.25" customHeight="1">
      <c r="A410" s="29"/>
      <c r="B410" s="6"/>
      <c r="C410" s="6"/>
      <c r="D410" s="6"/>
      <c r="E410" s="6"/>
      <c r="F410" s="6"/>
      <c r="G410" s="6"/>
      <c r="H410" s="6"/>
      <c r="I410" s="18"/>
      <c r="J410" s="6"/>
      <c r="K410" s="6"/>
      <c r="L410" s="9"/>
      <c r="M410" s="6"/>
      <c r="N410" s="6"/>
      <c r="O410" s="9"/>
      <c r="P410" s="6"/>
      <c r="Q410" s="6"/>
      <c r="R410" s="18"/>
      <c r="S410" s="9"/>
    </row>
    <row r="411" spans="1:19" ht="14.25" customHeight="1">
      <c r="A411" s="29"/>
      <c r="B411" s="6"/>
      <c r="C411" s="6"/>
      <c r="D411" s="6"/>
      <c r="E411" s="6"/>
      <c r="F411" s="6"/>
      <c r="G411" s="6"/>
      <c r="H411" s="6"/>
      <c r="I411" s="18"/>
      <c r="J411" s="6"/>
      <c r="K411" s="6"/>
      <c r="L411" s="9"/>
      <c r="M411" s="6"/>
      <c r="N411" s="6"/>
      <c r="O411" s="9"/>
      <c r="P411" s="6"/>
      <c r="Q411" s="6"/>
      <c r="R411" s="18"/>
      <c r="S411" s="9"/>
    </row>
    <row r="412" spans="1:19" ht="14.25" customHeight="1">
      <c r="A412" s="29"/>
      <c r="B412" s="6"/>
      <c r="C412" s="6"/>
      <c r="D412" s="6"/>
      <c r="E412" s="6"/>
      <c r="F412" s="6"/>
      <c r="G412" s="6"/>
      <c r="H412" s="6"/>
      <c r="I412" s="18"/>
      <c r="J412" s="6"/>
      <c r="K412" s="6"/>
      <c r="L412" s="9"/>
      <c r="M412" s="6"/>
      <c r="N412" s="6"/>
      <c r="O412" s="9"/>
      <c r="P412" s="6"/>
      <c r="Q412" s="6"/>
      <c r="R412" s="18"/>
      <c r="S412" s="9"/>
    </row>
    <row r="413" spans="1:19" ht="14.25" customHeight="1">
      <c r="A413" s="29"/>
      <c r="B413" s="6"/>
      <c r="C413" s="6"/>
      <c r="D413" s="6"/>
      <c r="E413" s="6"/>
      <c r="F413" s="6"/>
      <c r="G413" s="6"/>
      <c r="H413" s="6"/>
      <c r="I413" s="18"/>
      <c r="J413" s="6"/>
      <c r="K413" s="6"/>
      <c r="L413" s="9"/>
      <c r="M413" s="6"/>
      <c r="N413" s="6"/>
      <c r="O413" s="9"/>
      <c r="P413" s="6"/>
      <c r="Q413" s="6"/>
      <c r="R413" s="18"/>
      <c r="S413" s="9"/>
    </row>
    <row r="414" spans="1:19" ht="14.25" customHeight="1">
      <c r="A414" s="29"/>
      <c r="B414" s="6"/>
      <c r="C414" s="6"/>
      <c r="D414" s="6"/>
      <c r="E414" s="6"/>
      <c r="F414" s="6"/>
      <c r="G414" s="6"/>
      <c r="H414" s="6"/>
      <c r="I414" s="18"/>
      <c r="J414" s="6"/>
      <c r="K414" s="6"/>
      <c r="L414" s="9"/>
      <c r="M414" s="6"/>
      <c r="N414" s="6"/>
      <c r="O414" s="9"/>
      <c r="P414" s="6"/>
      <c r="Q414" s="6"/>
      <c r="R414" s="18"/>
      <c r="S414" s="9"/>
    </row>
    <row r="415" spans="1:19" ht="14.25" customHeight="1">
      <c r="A415" s="29"/>
      <c r="B415" s="6"/>
      <c r="C415" s="6"/>
      <c r="D415" s="6"/>
      <c r="E415" s="6"/>
      <c r="F415" s="6"/>
      <c r="G415" s="6"/>
      <c r="H415" s="6"/>
      <c r="I415" s="18"/>
      <c r="J415" s="6"/>
      <c r="K415" s="6"/>
      <c r="L415" s="9"/>
      <c r="M415" s="6"/>
      <c r="N415" s="6"/>
      <c r="O415" s="9"/>
      <c r="P415" s="6"/>
      <c r="Q415" s="6"/>
      <c r="R415" s="18"/>
      <c r="S415" s="9"/>
    </row>
    <row r="416" spans="1:19" ht="14.25" customHeight="1">
      <c r="A416" s="29"/>
      <c r="B416" s="6"/>
      <c r="C416" s="6"/>
      <c r="D416" s="6"/>
      <c r="E416" s="6"/>
      <c r="F416" s="6"/>
      <c r="G416" s="6"/>
      <c r="H416" s="6"/>
      <c r="I416" s="18"/>
      <c r="J416" s="6"/>
      <c r="K416" s="6"/>
      <c r="L416" s="9"/>
      <c r="M416" s="6"/>
      <c r="N416" s="6"/>
      <c r="O416" s="9"/>
      <c r="P416" s="6"/>
      <c r="Q416" s="6"/>
      <c r="R416" s="18"/>
      <c r="S416" s="9"/>
    </row>
    <row r="417" spans="1:19" ht="14.25" customHeight="1">
      <c r="A417" s="29"/>
      <c r="B417" s="6"/>
      <c r="C417" s="6"/>
      <c r="D417" s="6"/>
      <c r="E417" s="6"/>
      <c r="F417" s="6"/>
      <c r="G417" s="6"/>
      <c r="H417" s="6"/>
      <c r="I417" s="18"/>
      <c r="J417" s="6"/>
      <c r="K417" s="6"/>
      <c r="L417" s="9"/>
      <c r="M417" s="6"/>
      <c r="N417" s="6"/>
      <c r="O417" s="9"/>
      <c r="P417" s="6"/>
      <c r="Q417" s="6"/>
      <c r="R417" s="18"/>
      <c r="S417" s="9"/>
    </row>
    <row r="418" spans="1:19" ht="14.25" customHeight="1">
      <c r="A418" s="29"/>
      <c r="B418" s="6"/>
      <c r="C418" s="6"/>
      <c r="D418" s="6"/>
      <c r="E418" s="6"/>
      <c r="F418" s="6"/>
      <c r="G418" s="6"/>
      <c r="H418" s="6"/>
      <c r="I418" s="18"/>
      <c r="J418" s="6"/>
      <c r="K418" s="6"/>
      <c r="L418" s="9"/>
      <c r="M418" s="6"/>
      <c r="N418" s="6"/>
      <c r="O418" s="9"/>
      <c r="P418" s="6"/>
      <c r="Q418" s="6"/>
      <c r="R418" s="18"/>
      <c r="S418" s="9"/>
    </row>
    <row r="419" spans="1:19" ht="14.25" customHeight="1">
      <c r="A419" s="29"/>
      <c r="B419" s="6"/>
      <c r="C419" s="6"/>
      <c r="D419" s="6"/>
      <c r="E419" s="6"/>
      <c r="F419" s="6"/>
      <c r="G419" s="6"/>
      <c r="H419" s="6"/>
      <c r="I419" s="18"/>
      <c r="J419" s="6"/>
      <c r="K419" s="6"/>
      <c r="L419" s="9"/>
      <c r="M419" s="6"/>
      <c r="N419" s="6"/>
      <c r="O419" s="9"/>
      <c r="P419" s="6"/>
      <c r="Q419" s="6"/>
      <c r="R419" s="18"/>
      <c r="S419" s="9"/>
    </row>
    <row r="420" spans="1:19" ht="14.25" customHeight="1">
      <c r="A420" s="29"/>
      <c r="B420" s="6"/>
      <c r="C420" s="6"/>
      <c r="D420" s="6"/>
      <c r="E420" s="6"/>
      <c r="F420" s="6"/>
      <c r="G420" s="6"/>
      <c r="H420" s="6"/>
      <c r="I420" s="18"/>
      <c r="J420" s="6"/>
      <c r="K420" s="6"/>
      <c r="L420" s="9"/>
      <c r="M420" s="6"/>
      <c r="N420" s="6"/>
      <c r="O420" s="9"/>
      <c r="P420" s="6"/>
      <c r="Q420" s="6"/>
      <c r="R420" s="18"/>
      <c r="S420" s="9"/>
    </row>
    <row r="421" spans="1:19" ht="14.25" customHeight="1">
      <c r="A421" s="29"/>
      <c r="B421" s="6"/>
      <c r="C421" s="6"/>
      <c r="D421" s="6"/>
      <c r="E421" s="6"/>
      <c r="F421" s="6"/>
      <c r="G421" s="6"/>
      <c r="H421" s="6"/>
      <c r="I421" s="18"/>
      <c r="J421" s="6"/>
      <c r="K421" s="6"/>
      <c r="L421" s="9"/>
      <c r="M421" s="6"/>
      <c r="N421" s="6"/>
      <c r="O421" s="9"/>
      <c r="P421" s="6"/>
      <c r="Q421" s="6"/>
      <c r="R421" s="18"/>
      <c r="S421" s="9"/>
    </row>
    <row r="422" spans="1:19" ht="14.25" customHeight="1">
      <c r="A422" s="29"/>
      <c r="B422" s="6"/>
      <c r="C422" s="6"/>
      <c r="D422" s="6"/>
      <c r="E422" s="6"/>
      <c r="F422" s="6"/>
      <c r="G422" s="6"/>
      <c r="H422" s="6"/>
      <c r="I422" s="18"/>
      <c r="J422" s="6"/>
      <c r="K422" s="6"/>
      <c r="L422" s="9"/>
      <c r="M422" s="6"/>
      <c r="N422" s="6"/>
      <c r="O422" s="9"/>
      <c r="P422" s="6"/>
      <c r="Q422" s="6"/>
      <c r="R422" s="18"/>
      <c r="S422" s="9"/>
    </row>
    <row r="423" spans="1:19" ht="14.25" customHeight="1">
      <c r="A423" s="29"/>
      <c r="B423" s="6"/>
      <c r="C423" s="6"/>
      <c r="D423" s="6"/>
      <c r="E423" s="6"/>
      <c r="F423" s="6"/>
      <c r="G423" s="6"/>
      <c r="H423" s="6"/>
      <c r="I423" s="18"/>
      <c r="J423" s="6"/>
      <c r="K423" s="6"/>
      <c r="L423" s="9"/>
      <c r="M423" s="6"/>
      <c r="N423" s="6"/>
      <c r="O423" s="9"/>
      <c r="P423" s="6"/>
      <c r="Q423" s="6"/>
      <c r="R423" s="18"/>
      <c r="S423" s="9"/>
    </row>
    <row r="424" spans="1:19" ht="14.25" customHeight="1">
      <c r="A424" s="29"/>
      <c r="B424" s="6"/>
      <c r="C424" s="6"/>
      <c r="D424" s="6"/>
      <c r="E424" s="6"/>
      <c r="F424" s="6"/>
      <c r="G424" s="6"/>
      <c r="H424" s="6"/>
      <c r="I424" s="18"/>
      <c r="J424" s="6"/>
      <c r="K424" s="6"/>
      <c r="L424" s="9"/>
      <c r="M424" s="6"/>
      <c r="N424" s="6"/>
      <c r="O424" s="9"/>
      <c r="P424" s="6"/>
      <c r="Q424" s="6"/>
      <c r="R424" s="18"/>
      <c r="S424" s="9"/>
    </row>
    <row r="425" spans="1:19" ht="14.25" customHeight="1">
      <c r="A425" s="29"/>
      <c r="B425" s="6"/>
      <c r="C425" s="6"/>
      <c r="D425" s="6"/>
      <c r="E425" s="6"/>
      <c r="F425" s="6"/>
      <c r="G425" s="6"/>
      <c r="H425" s="6"/>
      <c r="I425" s="18"/>
      <c r="J425" s="6"/>
      <c r="K425" s="6"/>
      <c r="L425" s="9"/>
      <c r="M425" s="6"/>
      <c r="N425" s="6"/>
      <c r="O425" s="9"/>
      <c r="P425" s="6"/>
      <c r="Q425" s="6"/>
      <c r="R425" s="18"/>
      <c r="S425" s="9"/>
    </row>
    <row r="426" spans="1:19" ht="14.25" customHeight="1">
      <c r="A426" s="29"/>
      <c r="B426" s="6"/>
      <c r="C426" s="6"/>
      <c r="D426" s="6"/>
      <c r="E426" s="6"/>
      <c r="F426" s="6"/>
      <c r="G426" s="6"/>
      <c r="H426" s="6"/>
      <c r="I426" s="18"/>
      <c r="J426" s="6"/>
      <c r="K426" s="6"/>
      <c r="L426" s="9"/>
      <c r="M426" s="6"/>
      <c r="N426" s="6"/>
      <c r="O426" s="9"/>
      <c r="P426" s="6"/>
      <c r="Q426" s="6"/>
      <c r="R426" s="18"/>
      <c r="S426" s="9"/>
    </row>
    <row r="427" spans="1:19" ht="14.25" customHeight="1">
      <c r="A427" s="29"/>
      <c r="B427" s="6"/>
      <c r="C427" s="6"/>
      <c r="D427" s="6"/>
      <c r="E427" s="6"/>
      <c r="F427" s="6"/>
      <c r="G427" s="6"/>
      <c r="H427" s="6"/>
      <c r="I427" s="18"/>
      <c r="J427" s="6"/>
      <c r="K427" s="6"/>
      <c r="L427" s="9"/>
      <c r="M427" s="6"/>
      <c r="N427" s="6"/>
      <c r="O427" s="9"/>
      <c r="P427" s="6"/>
      <c r="Q427" s="6"/>
      <c r="R427" s="18"/>
      <c r="S427" s="9"/>
    </row>
    <row r="428" spans="1:19" ht="14.25" customHeight="1">
      <c r="A428" s="29"/>
      <c r="B428" s="6"/>
      <c r="C428" s="6"/>
      <c r="D428" s="6"/>
      <c r="E428" s="6"/>
      <c r="F428" s="6"/>
      <c r="G428" s="6"/>
      <c r="H428" s="6"/>
      <c r="I428" s="18"/>
      <c r="J428" s="6"/>
      <c r="K428" s="6"/>
      <c r="L428" s="9"/>
      <c r="M428" s="6"/>
      <c r="N428" s="6"/>
      <c r="O428" s="9"/>
      <c r="P428" s="6"/>
      <c r="Q428" s="6"/>
      <c r="R428" s="18"/>
      <c r="S428" s="9"/>
    </row>
    <row r="429" spans="1:19" ht="14.25" customHeight="1">
      <c r="A429" s="29"/>
      <c r="B429" s="6"/>
      <c r="C429" s="6"/>
      <c r="D429" s="6"/>
      <c r="E429" s="6"/>
      <c r="F429" s="6"/>
      <c r="G429" s="6"/>
      <c r="H429" s="6"/>
      <c r="I429" s="18"/>
      <c r="J429" s="6"/>
      <c r="K429" s="6"/>
      <c r="L429" s="9"/>
      <c r="M429" s="6"/>
      <c r="N429" s="6"/>
      <c r="O429" s="9"/>
      <c r="P429" s="6"/>
      <c r="Q429" s="6"/>
      <c r="R429" s="18"/>
      <c r="S429" s="9"/>
    </row>
    <row r="430" spans="1:19" ht="14.25" customHeight="1">
      <c r="A430" s="29"/>
      <c r="B430" s="6"/>
      <c r="C430" s="6"/>
      <c r="D430" s="6"/>
      <c r="E430" s="6"/>
      <c r="F430" s="6"/>
      <c r="G430" s="6"/>
      <c r="H430" s="6"/>
      <c r="I430" s="18"/>
      <c r="J430" s="6"/>
      <c r="K430" s="6"/>
      <c r="L430" s="9"/>
      <c r="M430" s="6"/>
      <c r="N430" s="6"/>
      <c r="O430" s="9"/>
      <c r="P430" s="6"/>
      <c r="Q430" s="6"/>
      <c r="R430" s="18"/>
      <c r="S430" s="9"/>
    </row>
    <row r="431" spans="1:19" ht="14.25" customHeight="1">
      <c r="A431" s="29"/>
      <c r="B431" s="6"/>
      <c r="C431" s="6"/>
      <c r="D431" s="6"/>
      <c r="E431" s="6"/>
      <c r="F431" s="6"/>
      <c r="G431" s="6"/>
      <c r="H431" s="6"/>
      <c r="I431" s="18"/>
      <c r="J431" s="6"/>
      <c r="K431" s="6"/>
      <c r="L431" s="9"/>
      <c r="M431" s="6"/>
      <c r="N431" s="6"/>
      <c r="O431" s="9"/>
      <c r="P431" s="6"/>
      <c r="Q431" s="6"/>
      <c r="R431" s="18"/>
      <c r="S431" s="9"/>
    </row>
    <row r="432" spans="1:19" ht="14.25" customHeight="1">
      <c r="A432" s="29"/>
      <c r="B432" s="6"/>
      <c r="C432" s="6"/>
      <c r="D432" s="6"/>
      <c r="E432" s="6"/>
      <c r="F432" s="6"/>
      <c r="G432" s="6"/>
      <c r="H432" s="6"/>
      <c r="I432" s="18"/>
      <c r="J432" s="6"/>
      <c r="K432" s="6"/>
      <c r="L432" s="9"/>
      <c r="M432" s="6"/>
      <c r="N432" s="6"/>
      <c r="O432" s="9"/>
      <c r="P432" s="6"/>
      <c r="Q432" s="6"/>
      <c r="R432" s="18"/>
      <c r="S432" s="9"/>
    </row>
    <row r="433" spans="1:19" ht="14.25" customHeight="1">
      <c r="A433" s="29"/>
      <c r="B433" s="6"/>
      <c r="C433" s="6"/>
      <c r="D433" s="6"/>
      <c r="E433" s="6"/>
      <c r="F433" s="6"/>
      <c r="G433" s="6"/>
      <c r="H433" s="6"/>
      <c r="I433" s="18"/>
      <c r="J433" s="6"/>
      <c r="K433" s="6"/>
      <c r="L433" s="9"/>
      <c r="M433" s="6"/>
      <c r="N433" s="6"/>
      <c r="O433" s="9"/>
      <c r="P433" s="6"/>
      <c r="Q433" s="6"/>
      <c r="R433" s="18"/>
      <c r="S433" s="9"/>
    </row>
    <row r="434" spans="1:19" ht="14.25" customHeight="1">
      <c r="A434" s="29"/>
      <c r="B434" s="6"/>
      <c r="C434" s="6"/>
      <c r="D434" s="6"/>
      <c r="E434" s="6"/>
      <c r="F434" s="6"/>
      <c r="G434" s="6"/>
      <c r="H434" s="6"/>
      <c r="I434" s="18"/>
      <c r="J434" s="6"/>
      <c r="K434" s="6"/>
      <c r="L434" s="9"/>
      <c r="M434" s="6"/>
      <c r="N434" s="6"/>
      <c r="O434" s="9"/>
      <c r="P434" s="6"/>
      <c r="Q434" s="6"/>
      <c r="R434" s="18"/>
      <c r="S434" s="9"/>
    </row>
    <row r="435" spans="1:19" ht="14.25" customHeight="1">
      <c r="A435" s="29"/>
      <c r="B435" s="6"/>
      <c r="C435" s="6"/>
      <c r="D435" s="6"/>
      <c r="E435" s="6"/>
      <c r="F435" s="6"/>
      <c r="G435" s="6"/>
      <c r="H435" s="6"/>
      <c r="I435" s="18"/>
      <c r="J435" s="6"/>
      <c r="K435" s="6"/>
      <c r="L435" s="9"/>
      <c r="M435" s="6"/>
      <c r="N435" s="6"/>
      <c r="O435" s="9"/>
      <c r="P435" s="6"/>
      <c r="Q435" s="6"/>
      <c r="R435" s="18"/>
      <c r="S435" s="9"/>
    </row>
    <row r="436" spans="1:19" ht="14.25" customHeight="1">
      <c r="A436" s="29"/>
      <c r="B436" s="6"/>
      <c r="C436" s="6"/>
      <c r="D436" s="6"/>
      <c r="E436" s="6"/>
      <c r="F436" s="6"/>
      <c r="G436" s="6"/>
      <c r="H436" s="6"/>
      <c r="I436" s="18"/>
      <c r="J436" s="6"/>
      <c r="K436" s="6"/>
      <c r="L436" s="9"/>
      <c r="M436" s="6"/>
      <c r="N436" s="6"/>
      <c r="O436" s="9"/>
      <c r="P436" s="6"/>
      <c r="Q436" s="6"/>
      <c r="R436" s="18"/>
      <c r="S436" s="9"/>
    </row>
    <row r="437" spans="1:19" ht="14.25" customHeight="1">
      <c r="A437" s="29"/>
      <c r="B437" s="6"/>
      <c r="C437" s="6"/>
      <c r="D437" s="6"/>
      <c r="E437" s="6"/>
      <c r="F437" s="6"/>
      <c r="G437" s="6"/>
      <c r="H437" s="6"/>
      <c r="I437" s="18"/>
      <c r="J437" s="6"/>
      <c r="K437" s="6"/>
      <c r="L437" s="9"/>
      <c r="M437" s="6"/>
      <c r="N437" s="6"/>
      <c r="O437" s="9"/>
      <c r="P437" s="6"/>
      <c r="Q437" s="6"/>
      <c r="R437" s="18"/>
      <c r="S437" s="9"/>
    </row>
    <row r="438" spans="1:19" ht="14.25" customHeight="1">
      <c r="A438" s="29"/>
      <c r="B438" s="6"/>
      <c r="C438" s="6"/>
      <c r="D438" s="6"/>
      <c r="E438" s="6"/>
      <c r="F438" s="6"/>
      <c r="G438" s="6"/>
      <c r="H438" s="6"/>
      <c r="I438" s="18"/>
      <c r="J438" s="6"/>
      <c r="K438" s="6"/>
      <c r="L438" s="9"/>
      <c r="M438" s="6"/>
      <c r="N438" s="6"/>
      <c r="O438" s="9"/>
      <c r="P438" s="6"/>
      <c r="Q438" s="6"/>
      <c r="R438" s="18"/>
      <c r="S438" s="9"/>
    </row>
    <row r="439" spans="1:19" ht="14.25" customHeight="1">
      <c r="A439" s="29"/>
      <c r="B439" s="6"/>
      <c r="C439" s="6"/>
      <c r="D439" s="6"/>
      <c r="E439" s="6"/>
      <c r="F439" s="6"/>
      <c r="G439" s="6"/>
      <c r="H439" s="6"/>
      <c r="I439" s="18"/>
      <c r="J439" s="6"/>
      <c r="K439" s="6"/>
      <c r="L439" s="9"/>
      <c r="M439" s="6"/>
      <c r="N439" s="6"/>
      <c r="O439" s="9"/>
      <c r="P439" s="6"/>
      <c r="Q439" s="6"/>
      <c r="R439" s="18"/>
      <c r="S439" s="9"/>
    </row>
    <row r="440" spans="1:19" ht="14.25" customHeight="1">
      <c r="A440" s="29"/>
      <c r="B440" s="6"/>
      <c r="C440" s="6"/>
      <c r="D440" s="6"/>
      <c r="E440" s="6"/>
      <c r="F440" s="6"/>
      <c r="G440" s="6"/>
      <c r="H440" s="6"/>
      <c r="I440" s="18"/>
      <c r="J440" s="6"/>
      <c r="K440" s="6"/>
      <c r="L440" s="9"/>
      <c r="M440" s="6"/>
      <c r="N440" s="6"/>
      <c r="O440" s="9"/>
      <c r="P440" s="6"/>
      <c r="Q440" s="6"/>
      <c r="R440" s="18"/>
      <c r="S440" s="9"/>
    </row>
    <row r="441" spans="1:19" ht="14.25" customHeight="1">
      <c r="A441" s="29"/>
      <c r="B441" s="6"/>
      <c r="C441" s="6"/>
      <c r="D441" s="6"/>
      <c r="E441" s="6"/>
      <c r="F441" s="6"/>
      <c r="G441" s="6"/>
      <c r="H441" s="6"/>
      <c r="I441" s="18"/>
      <c r="J441" s="6"/>
      <c r="K441" s="6"/>
      <c r="L441" s="9"/>
      <c r="M441" s="6"/>
      <c r="N441" s="6"/>
      <c r="O441" s="9"/>
      <c r="P441" s="6"/>
      <c r="Q441" s="6"/>
      <c r="R441" s="18"/>
      <c r="S441" s="9"/>
    </row>
    <row r="442" spans="1:19" ht="14.25" customHeight="1">
      <c r="A442" s="29"/>
      <c r="B442" s="6"/>
      <c r="C442" s="6"/>
      <c r="D442" s="6"/>
      <c r="E442" s="6"/>
      <c r="F442" s="6"/>
      <c r="G442" s="6"/>
      <c r="H442" s="6"/>
      <c r="I442" s="18"/>
      <c r="J442" s="6"/>
      <c r="K442" s="6"/>
      <c r="L442" s="9"/>
      <c r="M442" s="6"/>
      <c r="N442" s="6"/>
      <c r="O442" s="9"/>
      <c r="P442" s="6"/>
      <c r="Q442" s="6"/>
      <c r="R442" s="18"/>
      <c r="S442" s="9"/>
    </row>
    <row r="443" spans="1:19" ht="14.25" customHeight="1">
      <c r="A443" s="29"/>
      <c r="B443" s="6"/>
      <c r="C443" s="6"/>
      <c r="D443" s="6"/>
      <c r="E443" s="6"/>
      <c r="F443" s="6"/>
      <c r="G443" s="6"/>
      <c r="H443" s="6"/>
      <c r="I443" s="18"/>
      <c r="J443" s="6"/>
      <c r="K443" s="6"/>
      <c r="L443" s="9"/>
      <c r="M443" s="6"/>
      <c r="N443" s="6"/>
      <c r="O443" s="9"/>
      <c r="P443" s="6"/>
      <c r="Q443" s="6"/>
      <c r="R443" s="18"/>
      <c r="S443" s="9"/>
    </row>
    <row r="444" spans="1:19" ht="14.25" customHeight="1">
      <c r="A444" s="29"/>
      <c r="B444" s="6"/>
      <c r="C444" s="6"/>
      <c r="D444" s="6"/>
      <c r="E444" s="6"/>
      <c r="F444" s="6"/>
      <c r="G444" s="6"/>
      <c r="H444" s="6"/>
      <c r="I444" s="18"/>
      <c r="J444" s="6"/>
      <c r="K444" s="6"/>
      <c r="L444" s="9"/>
      <c r="M444" s="6"/>
      <c r="N444" s="6"/>
      <c r="O444" s="9"/>
      <c r="P444" s="6"/>
      <c r="Q444" s="6"/>
      <c r="R444" s="18"/>
      <c r="S444" s="9"/>
    </row>
    <row r="445" spans="1:19" ht="14.25" customHeight="1">
      <c r="A445" s="29"/>
      <c r="B445" s="6"/>
      <c r="C445" s="6"/>
      <c r="D445" s="6"/>
      <c r="E445" s="6"/>
      <c r="F445" s="6"/>
      <c r="G445" s="6"/>
      <c r="H445" s="6"/>
      <c r="I445" s="18"/>
      <c r="J445" s="6"/>
      <c r="K445" s="6"/>
      <c r="L445" s="9"/>
      <c r="M445" s="6"/>
      <c r="N445" s="6"/>
      <c r="O445" s="9"/>
      <c r="P445" s="6"/>
      <c r="Q445" s="6"/>
      <c r="R445" s="18"/>
      <c r="S445" s="9"/>
    </row>
    <row r="446" spans="1:19" ht="14.25" customHeight="1">
      <c r="A446" s="29"/>
      <c r="B446" s="6"/>
      <c r="C446" s="6"/>
      <c r="D446" s="6"/>
      <c r="E446" s="6"/>
      <c r="F446" s="6"/>
      <c r="G446" s="6"/>
      <c r="H446" s="6"/>
      <c r="I446" s="18"/>
      <c r="J446" s="6"/>
      <c r="K446" s="6"/>
      <c r="L446" s="9"/>
      <c r="M446" s="6"/>
      <c r="N446" s="6"/>
      <c r="O446" s="9"/>
      <c r="P446" s="6"/>
      <c r="Q446" s="6"/>
      <c r="R446" s="18"/>
      <c r="S446" s="9"/>
    </row>
    <row r="447" spans="1:19" ht="14.25" customHeight="1">
      <c r="A447" s="29"/>
      <c r="B447" s="6"/>
      <c r="C447" s="6"/>
      <c r="D447" s="6"/>
      <c r="E447" s="6"/>
      <c r="F447" s="6"/>
      <c r="G447" s="6"/>
      <c r="H447" s="6"/>
      <c r="I447" s="18"/>
      <c r="J447" s="6"/>
      <c r="K447" s="6"/>
      <c r="L447" s="9"/>
      <c r="M447" s="6"/>
      <c r="N447" s="6"/>
      <c r="O447" s="9"/>
      <c r="P447" s="6"/>
      <c r="Q447" s="6"/>
      <c r="R447" s="18"/>
      <c r="S447" s="9"/>
    </row>
    <row r="448" spans="1:19" ht="14.25" customHeight="1">
      <c r="A448" s="29"/>
      <c r="B448" s="6"/>
      <c r="C448" s="6"/>
      <c r="D448" s="6"/>
      <c r="E448" s="6"/>
      <c r="F448" s="6"/>
      <c r="G448" s="6"/>
      <c r="H448" s="6"/>
      <c r="I448" s="18"/>
      <c r="J448" s="6"/>
      <c r="K448" s="6"/>
      <c r="L448" s="9"/>
      <c r="M448" s="6"/>
      <c r="N448" s="6"/>
      <c r="O448" s="9"/>
      <c r="P448" s="6"/>
      <c r="Q448" s="6"/>
      <c r="R448" s="18"/>
      <c r="S448" s="9"/>
    </row>
    <row r="449" spans="1:19" ht="14.25" customHeight="1">
      <c r="A449" s="29"/>
      <c r="B449" s="6"/>
      <c r="C449" s="6"/>
      <c r="D449" s="6"/>
      <c r="E449" s="6"/>
      <c r="F449" s="6"/>
      <c r="G449" s="6"/>
      <c r="H449" s="6"/>
      <c r="I449" s="18"/>
      <c r="J449" s="6"/>
      <c r="K449" s="6"/>
      <c r="L449" s="9"/>
      <c r="M449" s="6"/>
      <c r="N449" s="6"/>
      <c r="O449" s="9"/>
      <c r="P449" s="6"/>
      <c r="Q449" s="6"/>
      <c r="R449" s="18"/>
      <c r="S449" s="9"/>
    </row>
    <row r="450" spans="1:19" ht="14.25" customHeight="1">
      <c r="A450" s="29"/>
      <c r="B450" s="6"/>
      <c r="C450" s="6"/>
      <c r="D450" s="6"/>
      <c r="E450" s="6"/>
      <c r="F450" s="6"/>
      <c r="G450" s="6"/>
      <c r="H450" s="6"/>
      <c r="I450" s="18"/>
      <c r="J450" s="6"/>
      <c r="K450" s="6"/>
      <c r="L450" s="9"/>
      <c r="M450" s="6"/>
      <c r="N450" s="6"/>
      <c r="O450" s="9"/>
      <c r="P450" s="6"/>
      <c r="Q450" s="6"/>
      <c r="R450" s="18"/>
      <c r="S450" s="9"/>
    </row>
    <row r="451" spans="1:19" ht="14.25" customHeight="1">
      <c r="A451" s="29"/>
      <c r="B451" s="6"/>
      <c r="C451" s="6"/>
      <c r="D451" s="6"/>
      <c r="E451" s="6"/>
      <c r="F451" s="6"/>
      <c r="G451" s="6"/>
      <c r="H451" s="6"/>
      <c r="I451" s="18"/>
      <c r="J451" s="6"/>
      <c r="K451" s="6"/>
      <c r="L451" s="9"/>
      <c r="M451" s="6"/>
      <c r="N451" s="6"/>
      <c r="O451" s="9"/>
      <c r="P451" s="6"/>
      <c r="Q451" s="6"/>
      <c r="R451" s="18"/>
      <c r="S451" s="9"/>
    </row>
    <row r="452" spans="1:19" ht="14.25" customHeight="1">
      <c r="A452" s="29"/>
      <c r="B452" s="6"/>
      <c r="C452" s="6"/>
      <c r="D452" s="6"/>
      <c r="E452" s="6"/>
      <c r="F452" s="6"/>
      <c r="G452" s="6"/>
      <c r="H452" s="6"/>
      <c r="I452" s="18"/>
      <c r="J452" s="6"/>
      <c r="K452" s="6"/>
      <c r="L452" s="9"/>
      <c r="M452" s="6"/>
      <c r="N452" s="6"/>
      <c r="O452" s="9"/>
      <c r="P452" s="6"/>
      <c r="Q452" s="6"/>
      <c r="R452" s="18"/>
      <c r="S452" s="9"/>
    </row>
    <row r="453" spans="1:19" ht="14.25" customHeight="1">
      <c r="A453" s="29"/>
      <c r="B453" s="6"/>
      <c r="C453" s="6"/>
      <c r="D453" s="6"/>
      <c r="E453" s="6"/>
      <c r="F453" s="6"/>
      <c r="G453" s="6"/>
      <c r="H453" s="6"/>
      <c r="I453" s="18"/>
      <c r="J453" s="6"/>
      <c r="K453" s="6"/>
      <c r="L453" s="9"/>
      <c r="M453" s="6"/>
      <c r="N453" s="6"/>
      <c r="O453" s="9"/>
      <c r="P453" s="6"/>
      <c r="Q453" s="6"/>
      <c r="R453" s="18"/>
      <c r="S453" s="9"/>
    </row>
    <row r="454" spans="1:19" ht="14.25" customHeight="1">
      <c r="A454" s="29"/>
      <c r="B454" s="6"/>
      <c r="C454" s="6"/>
      <c r="D454" s="6"/>
      <c r="E454" s="6"/>
      <c r="F454" s="6"/>
      <c r="G454" s="6"/>
      <c r="H454" s="6"/>
      <c r="I454" s="18"/>
      <c r="J454" s="6"/>
      <c r="K454" s="6"/>
      <c r="L454" s="9"/>
      <c r="M454" s="6"/>
      <c r="N454" s="6"/>
      <c r="O454" s="9"/>
      <c r="P454" s="6"/>
      <c r="Q454" s="6"/>
      <c r="R454" s="18"/>
      <c r="S454" s="9"/>
    </row>
    <row r="455" spans="1:19" ht="14.25" customHeight="1">
      <c r="A455" s="29"/>
      <c r="B455" s="6"/>
      <c r="C455" s="6"/>
      <c r="D455" s="6"/>
      <c r="E455" s="6"/>
      <c r="F455" s="6"/>
      <c r="G455" s="6"/>
      <c r="H455" s="6"/>
      <c r="I455" s="18"/>
      <c r="J455" s="6"/>
      <c r="K455" s="6"/>
      <c r="L455" s="9"/>
      <c r="M455" s="6"/>
      <c r="N455" s="6"/>
      <c r="O455" s="9"/>
      <c r="P455" s="6"/>
      <c r="Q455" s="6"/>
      <c r="R455" s="18"/>
      <c r="S455" s="9"/>
    </row>
    <row r="456" spans="1:19" ht="14.25" customHeight="1">
      <c r="A456" s="29"/>
      <c r="B456" s="6"/>
      <c r="C456" s="6"/>
      <c r="D456" s="6"/>
      <c r="E456" s="6"/>
      <c r="F456" s="6"/>
      <c r="G456" s="6"/>
      <c r="H456" s="6"/>
      <c r="I456" s="18"/>
      <c r="J456" s="6"/>
      <c r="K456" s="6"/>
      <c r="L456" s="9"/>
      <c r="M456" s="6"/>
      <c r="N456" s="6"/>
      <c r="O456" s="9"/>
      <c r="P456" s="6"/>
      <c r="Q456" s="6"/>
      <c r="R456" s="18"/>
      <c r="S456" s="9"/>
    </row>
    <row r="457" spans="1:19" ht="14.25" customHeight="1">
      <c r="A457" s="29"/>
      <c r="B457" s="6"/>
      <c r="C457" s="6"/>
      <c r="D457" s="6"/>
      <c r="E457" s="6"/>
      <c r="F457" s="6"/>
      <c r="G457" s="6"/>
      <c r="H457" s="6"/>
      <c r="I457" s="18"/>
      <c r="J457" s="6"/>
      <c r="K457" s="6"/>
      <c r="L457" s="9"/>
      <c r="M457" s="6"/>
      <c r="N457" s="6"/>
      <c r="O457" s="9"/>
      <c r="P457" s="6"/>
      <c r="Q457" s="6"/>
      <c r="R457" s="18"/>
      <c r="S457" s="9"/>
    </row>
    <row r="458" spans="1:19" ht="14.25" customHeight="1">
      <c r="A458" s="29"/>
      <c r="B458" s="6"/>
      <c r="C458" s="6"/>
      <c r="D458" s="6"/>
      <c r="E458" s="6"/>
      <c r="F458" s="6"/>
      <c r="G458" s="6"/>
      <c r="H458" s="6"/>
      <c r="I458" s="18"/>
      <c r="J458" s="6"/>
      <c r="K458" s="6"/>
      <c r="L458" s="9"/>
      <c r="M458" s="6"/>
      <c r="N458" s="6"/>
      <c r="O458" s="9"/>
      <c r="P458" s="6"/>
      <c r="Q458" s="6"/>
      <c r="R458" s="18"/>
      <c r="S458" s="9"/>
    </row>
    <row r="459" spans="1:19" ht="14.25" customHeight="1">
      <c r="A459" s="29"/>
      <c r="B459" s="6"/>
      <c r="C459" s="6"/>
      <c r="D459" s="6"/>
      <c r="E459" s="6"/>
      <c r="F459" s="6"/>
      <c r="G459" s="6"/>
      <c r="H459" s="6"/>
      <c r="I459" s="18"/>
      <c r="J459" s="6"/>
      <c r="K459" s="6"/>
      <c r="L459" s="9"/>
      <c r="M459" s="6"/>
      <c r="N459" s="6"/>
      <c r="O459" s="9"/>
      <c r="P459" s="6"/>
      <c r="Q459" s="6"/>
      <c r="R459" s="18"/>
      <c r="S459" s="9"/>
    </row>
    <row r="460" spans="1:19" ht="14.25" customHeight="1">
      <c r="A460" s="29"/>
      <c r="B460" s="6"/>
      <c r="C460" s="6"/>
      <c r="D460" s="6"/>
      <c r="E460" s="6"/>
      <c r="F460" s="6"/>
      <c r="G460" s="6"/>
      <c r="H460" s="6"/>
      <c r="I460" s="18"/>
      <c r="J460" s="6"/>
      <c r="K460" s="6"/>
      <c r="L460" s="9"/>
      <c r="M460" s="6"/>
      <c r="N460" s="6"/>
      <c r="O460" s="9"/>
      <c r="P460" s="6"/>
      <c r="Q460" s="6"/>
      <c r="R460" s="18"/>
      <c r="S460" s="9"/>
    </row>
    <row r="461" spans="1:19" ht="14.25" customHeight="1">
      <c r="A461" s="29"/>
      <c r="B461" s="6"/>
      <c r="C461" s="6"/>
      <c r="D461" s="6"/>
      <c r="E461" s="6"/>
      <c r="F461" s="6"/>
      <c r="G461" s="6"/>
      <c r="H461" s="6"/>
      <c r="I461" s="18"/>
      <c r="J461" s="6"/>
      <c r="K461" s="6"/>
      <c r="L461" s="9"/>
      <c r="M461" s="6"/>
      <c r="N461" s="6"/>
      <c r="O461" s="9"/>
      <c r="P461" s="6"/>
      <c r="Q461" s="6"/>
      <c r="R461" s="18"/>
      <c r="S461" s="9"/>
    </row>
    <row r="462" spans="1:19" ht="14.25" customHeight="1">
      <c r="A462" s="29"/>
      <c r="B462" s="6"/>
      <c r="C462" s="6"/>
      <c r="D462" s="6"/>
      <c r="E462" s="6"/>
      <c r="F462" s="6"/>
      <c r="G462" s="6"/>
      <c r="H462" s="6"/>
      <c r="I462" s="18"/>
      <c r="J462" s="6"/>
      <c r="K462" s="6"/>
      <c r="L462" s="9"/>
      <c r="M462" s="6"/>
      <c r="N462" s="6"/>
      <c r="O462" s="9"/>
      <c r="P462" s="6"/>
      <c r="Q462" s="6"/>
      <c r="R462" s="18"/>
      <c r="S462" s="9"/>
    </row>
    <row r="463" spans="1:19" ht="14.25" customHeight="1">
      <c r="A463" s="29"/>
      <c r="B463" s="6"/>
      <c r="C463" s="6"/>
      <c r="D463" s="6"/>
      <c r="E463" s="6"/>
      <c r="F463" s="6"/>
      <c r="G463" s="6"/>
      <c r="H463" s="6"/>
      <c r="I463" s="18"/>
      <c r="J463" s="6"/>
      <c r="K463" s="6"/>
      <c r="L463" s="9"/>
      <c r="M463" s="6"/>
      <c r="N463" s="6"/>
      <c r="O463" s="9"/>
      <c r="P463" s="6"/>
      <c r="Q463" s="6"/>
      <c r="R463" s="18"/>
      <c r="S463" s="9"/>
    </row>
    <row r="464" spans="1:19" ht="14.25" customHeight="1">
      <c r="A464" s="29"/>
      <c r="B464" s="6"/>
      <c r="C464" s="6"/>
      <c r="D464" s="6"/>
      <c r="E464" s="6"/>
      <c r="F464" s="6"/>
      <c r="G464" s="6"/>
      <c r="H464" s="6"/>
      <c r="I464" s="18"/>
      <c r="J464" s="6"/>
      <c r="K464" s="6"/>
      <c r="L464" s="9"/>
      <c r="M464" s="6"/>
      <c r="N464" s="6"/>
      <c r="O464" s="9"/>
      <c r="P464" s="6"/>
      <c r="Q464" s="6"/>
      <c r="R464" s="18"/>
      <c r="S464" s="9"/>
    </row>
    <row r="465" spans="1:19" ht="14.25" customHeight="1">
      <c r="A465" s="29"/>
      <c r="B465" s="6"/>
      <c r="C465" s="6"/>
      <c r="D465" s="6"/>
      <c r="E465" s="6"/>
      <c r="F465" s="6"/>
      <c r="G465" s="6"/>
      <c r="H465" s="6"/>
      <c r="I465" s="18"/>
      <c r="J465" s="6"/>
      <c r="K465" s="6"/>
      <c r="L465" s="9"/>
      <c r="M465" s="6"/>
      <c r="N465" s="6"/>
      <c r="O465" s="9"/>
      <c r="P465" s="6"/>
      <c r="Q465" s="6"/>
      <c r="R465" s="18"/>
      <c r="S465" s="9"/>
    </row>
    <row r="466" spans="1:19" ht="14.25" customHeight="1">
      <c r="A466" s="29"/>
      <c r="B466" s="6"/>
      <c r="C466" s="6"/>
      <c r="D466" s="6"/>
      <c r="E466" s="6"/>
      <c r="F466" s="6"/>
      <c r="G466" s="6"/>
      <c r="H466" s="6"/>
      <c r="I466" s="18"/>
      <c r="J466" s="6"/>
      <c r="K466" s="6"/>
      <c r="L466" s="9"/>
      <c r="M466" s="6"/>
      <c r="N466" s="6"/>
      <c r="O466" s="9"/>
      <c r="P466" s="6"/>
      <c r="Q466" s="6"/>
      <c r="R466" s="18"/>
      <c r="S466" s="9"/>
    </row>
    <row r="467" spans="1:19" ht="14.25" customHeight="1">
      <c r="A467" s="29"/>
      <c r="B467" s="6"/>
      <c r="C467" s="6"/>
      <c r="D467" s="6"/>
      <c r="E467" s="6"/>
      <c r="F467" s="6"/>
      <c r="G467" s="6"/>
      <c r="H467" s="6"/>
      <c r="I467" s="18"/>
      <c r="J467" s="6"/>
      <c r="K467" s="6"/>
      <c r="L467" s="9"/>
      <c r="M467" s="6"/>
      <c r="N467" s="6"/>
      <c r="O467" s="9"/>
      <c r="P467" s="6"/>
      <c r="Q467" s="6"/>
      <c r="R467" s="18"/>
      <c r="S467" s="9"/>
    </row>
    <row r="468" spans="1:19" ht="14.25" customHeight="1">
      <c r="A468" s="29"/>
      <c r="B468" s="6"/>
      <c r="C468" s="6"/>
      <c r="D468" s="6"/>
      <c r="E468" s="6"/>
      <c r="F468" s="6"/>
      <c r="G468" s="6"/>
      <c r="H468" s="6"/>
      <c r="I468" s="18"/>
      <c r="J468" s="6"/>
      <c r="K468" s="6"/>
      <c r="L468" s="9"/>
      <c r="M468" s="6"/>
      <c r="N468" s="6"/>
      <c r="O468" s="9"/>
      <c r="P468" s="6"/>
      <c r="Q468" s="6"/>
      <c r="R468" s="18"/>
      <c r="S468" s="9"/>
    </row>
    <row r="469" spans="1:19" ht="14.25" customHeight="1">
      <c r="A469" s="29"/>
      <c r="B469" s="6"/>
      <c r="C469" s="6"/>
      <c r="D469" s="6"/>
      <c r="E469" s="6"/>
      <c r="F469" s="6"/>
      <c r="G469" s="6"/>
      <c r="H469" s="6"/>
      <c r="I469" s="18"/>
      <c r="J469" s="6"/>
      <c r="K469" s="6"/>
      <c r="L469" s="9"/>
      <c r="M469" s="6"/>
      <c r="N469" s="6"/>
      <c r="O469" s="9"/>
      <c r="P469" s="6"/>
      <c r="Q469" s="6"/>
      <c r="R469" s="18"/>
      <c r="S469" s="9"/>
    </row>
    <row r="470" spans="1:19" ht="14.25" customHeight="1">
      <c r="A470" s="29"/>
      <c r="B470" s="6"/>
      <c r="C470" s="6"/>
      <c r="D470" s="6"/>
      <c r="E470" s="6"/>
      <c r="F470" s="6"/>
      <c r="G470" s="6"/>
      <c r="H470" s="6"/>
      <c r="I470" s="18"/>
      <c r="J470" s="6"/>
      <c r="K470" s="6"/>
      <c r="L470" s="9"/>
      <c r="M470" s="6"/>
      <c r="N470" s="6"/>
      <c r="O470" s="9"/>
      <c r="P470" s="6"/>
      <c r="Q470" s="6"/>
      <c r="R470" s="18"/>
      <c r="S470" s="9"/>
    </row>
    <row r="471" spans="1:19" ht="14.25" customHeight="1">
      <c r="A471" s="29"/>
      <c r="B471" s="6"/>
      <c r="C471" s="6"/>
      <c r="D471" s="6"/>
      <c r="E471" s="6"/>
      <c r="F471" s="6"/>
      <c r="G471" s="6"/>
      <c r="H471" s="6"/>
      <c r="I471" s="18"/>
      <c r="J471" s="6"/>
      <c r="K471" s="6"/>
      <c r="L471" s="9"/>
      <c r="M471" s="6"/>
      <c r="N471" s="6"/>
      <c r="O471" s="9"/>
      <c r="P471" s="6"/>
      <c r="Q471" s="6"/>
      <c r="R471" s="18"/>
      <c r="S471" s="9"/>
    </row>
    <row r="472" spans="1:19" ht="14.25" customHeight="1">
      <c r="A472" s="5"/>
    </row>
    <row r="473" spans="1:19" ht="14.25" customHeight="1">
      <c r="A473" s="5"/>
    </row>
    <row r="474" spans="1:19" ht="14.25" customHeight="1">
      <c r="A474" s="5"/>
    </row>
    <row r="475" spans="1:19" ht="14.25" customHeight="1">
      <c r="A475" s="5"/>
    </row>
    <row r="476" spans="1:19" ht="14.25" customHeight="1">
      <c r="A476" s="5"/>
    </row>
    <row r="477" spans="1:19" ht="14.25" customHeight="1">
      <c r="A477" s="5"/>
    </row>
    <row r="478" spans="1:19" ht="14.25" customHeight="1">
      <c r="A478" s="5"/>
    </row>
    <row r="479" spans="1:19" ht="14.25" customHeight="1">
      <c r="A479" s="5"/>
    </row>
    <row r="480" spans="1:19" ht="14.25" customHeight="1">
      <c r="A480" s="5"/>
    </row>
    <row r="481" spans="1:1" ht="14.25" customHeight="1">
      <c r="A481" s="5"/>
    </row>
    <row r="482" spans="1:1" ht="14.25" customHeight="1">
      <c r="A482" s="5"/>
    </row>
    <row r="483" spans="1:1" ht="14.25" customHeight="1">
      <c r="A483" s="5"/>
    </row>
    <row r="484" spans="1:1" ht="14.25" customHeight="1">
      <c r="A484" s="5"/>
    </row>
    <row r="485" spans="1:1" ht="14.25" customHeight="1">
      <c r="A485" s="5"/>
    </row>
    <row r="486" spans="1:1" ht="14.25" customHeight="1">
      <c r="A486" s="5"/>
    </row>
    <row r="487" spans="1:1" ht="14.25" customHeight="1">
      <c r="A487" s="5"/>
    </row>
    <row r="488" spans="1:1" ht="14.25" customHeight="1">
      <c r="A488" s="5"/>
    </row>
    <row r="489" spans="1:1" ht="14.25" customHeight="1">
      <c r="A489" s="5"/>
    </row>
    <row r="490" spans="1:1" ht="14.25" customHeight="1">
      <c r="A490" s="5"/>
    </row>
    <row r="491" spans="1:1" ht="14.25" customHeight="1">
      <c r="A491" s="5"/>
    </row>
    <row r="492" spans="1:1" ht="14.25" customHeight="1">
      <c r="A492" s="5"/>
    </row>
    <row r="493" spans="1:1" ht="14.25" customHeight="1">
      <c r="A493" s="5"/>
    </row>
    <row r="494" spans="1:1" ht="14.25" customHeight="1">
      <c r="A494" s="5"/>
    </row>
    <row r="495" spans="1:1" ht="14.25" customHeight="1">
      <c r="A495" s="5"/>
    </row>
    <row r="496" spans="1:1" ht="14.25" customHeight="1">
      <c r="A496" s="5"/>
    </row>
    <row r="497" spans="1:1" ht="14.25" customHeight="1">
      <c r="A497" s="5"/>
    </row>
    <row r="498" spans="1:1" ht="14.25" customHeight="1">
      <c r="A498" s="5"/>
    </row>
    <row r="499" spans="1:1" ht="14.25" customHeight="1">
      <c r="A499" s="5"/>
    </row>
    <row r="500" spans="1:1" ht="14.25" customHeight="1">
      <c r="A500" s="5"/>
    </row>
    <row r="501" spans="1:1" ht="14.25" customHeight="1">
      <c r="A501" s="5"/>
    </row>
    <row r="502" spans="1:1" ht="14.25" customHeight="1">
      <c r="A502" s="5"/>
    </row>
    <row r="503" spans="1:1" ht="14.25" customHeight="1">
      <c r="A503" s="5"/>
    </row>
    <row r="504" spans="1:1" ht="14.25" customHeight="1">
      <c r="A504" s="5"/>
    </row>
    <row r="505" spans="1:1" ht="14.25" customHeight="1">
      <c r="A505" s="5"/>
    </row>
    <row r="506" spans="1:1" ht="14.25" customHeight="1">
      <c r="A506" s="5"/>
    </row>
    <row r="507" spans="1:1" ht="14.25" customHeight="1">
      <c r="A507" s="5"/>
    </row>
    <row r="508" spans="1:1" ht="14.25" customHeight="1">
      <c r="A508" s="5"/>
    </row>
    <row r="509" spans="1:1" ht="14.25" customHeight="1">
      <c r="A509" s="5"/>
    </row>
    <row r="510" spans="1:1" ht="14.25" customHeight="1">
      <c r="A510" s="5"/>
    </row>
    <row r="511" spans="1:1" ht="14.25" customHeight="1">
      <c r="A511" s="5"/>
    </row>
    <row r="512" spans="1:1" ht="14.25" customHeight="1">
      <c r="A512" s="5"/>
    </row>
    <row r="513" spans="1:1" ht="14.25" customHeight="1">
      <c r="A513" s="5"/>
    </row>
    <row r="514" spans="1:1" ht="14.25" customHeight="1">
      <c r="A514" s="5"/>
    </row>
    <row r="515" spans="1:1" ht="14.25" customHeight="1">
      <c r="A515" s="5"/>
    </row>
    <row r="516" spans="1:1" ht="14.25" customHeight="1">
      <c r="A516" s="5"/>
    </row>
    <row r="517" spans="1:1" ht="14.25" customHeight="1">
      <c r="A517" s="5"/>
    </row>
    <row r="518" spans="1:1" ht="14.25" customHeight="1">
      <c r="A518" s="5"/>
    </row>
    <row r="519" spans="1:1" ht="14.25" customHeight="1">
      <c r="A519" s="5"/>
    </row>
    <row r="520" spans="1:1" ht="14.25" customHeight="1">
      <c r="A520" s="5"/>
    </row>
    <row r="521" spans="1:1" ht="14.25" customHeight="1">
      <c r="A521" s="5"/>
    </row>
    <row r="522" spans="1:1" ht="14.25" customHeight="1">
      <c r="A522" s="5"/>
    </row>
    <row r="523" spans="1:1" ht="14.25" customHeight="1">
      <c r="A523" s="5"/>
    </row>
    <row r="524" spans="1:1" ht="14.25" customHeight="1">
      <c r="A524" s="5"/>
    </row>
    <row r="525" spans="1:1" ht="14.25" customHeight="1">
      <c r="A525" s="5"/>
    </row>
    <row r="526" spans="1:1" ht="14.25" customHeight="1">
      <c r="A526" s="5"/>
    </row>
    <row r="527" spans="1:1" ht="14.25" customHeight="1">
      <c r="A527" s="5"/>
    </row>
    <row r="528" spans="1:1" ht="14.25" customHeight="1">
      <c r="A528" s="5"/>
    </row>
    <row r="529" spans="1:1" ht="14.25" customHeight="1">
      <c r="A529" s="5"/>
    </row>
    <row r="530" spans="1:1" ht="14.25" customHeight="1">
      <c r="A530" s="5"/>
    </row>
    <row r="531" spans="1:1" ht="14.25" customHeight="1">
      <c r="A531" s="5"/>
    </row>
    <row r="532" spans="1:1" ht="14.25" customHeight="1">
      <c r="A532" s="5"/>
    </row>
    <row r="533" spans="1:1" ht="14.25" customHeight="1">
      <c r="A533" s="5"/>
    </row>
    <row r="534" spans="1:1" ht="14.25" customHeight="1">
      <c r="A534" s="5"/>
    </row>
    <row r="535" spans="1:1" ht="14.25" customHeight="1">
      <c r="A535" s="5"/>
    </row>
    <row r="536" spans="1:1" ht="14.25" customHeight="1">
      <c r="A536" s="5"/>
    </row>
    <row r="537" spans="1:1" ht="14.25" customHeight="1">
      <c r="A537" s="5"/>
    </row>
    <row r="538" spans="1:1" ht="14.25" customHeight="1">
      <c r="A538" s="5"/>
    </row>
    <row r="539" spans="1:1" ht="14.25" customHeight="1">
      <c r="A539" s="5"/>
    </row>
    <row r="540" spans="1:1" ht="14.25" customHeight="1">
      <c r="A540" s="5"/>
    </row>
    <row r="541" spans="1:1" ht="14.25" customHeight="1">
      <c r="A541" s="5"/>
    </row>
    <row r="542" spans="1:1" ht="14.25" customHeight="1">
      <c r="A542" s="5"/>
    </row>
    <row r="543" spans="1:1" ht="14.25" customHeight="1">
      <c r="A543" s="5"/>
    </row>
    <row r="544" spans="1:1" ht="14.25" customHeight="1">
      <c r="A544" s="5"/>
    </row>
    <row r="545" spans="1:1" ht="14.25" customHeight="1">
      <c r="A545" s="5"/>
    </row>
    <row r="546" spans="1:1" ht="14.25" customHeight="1">
      <c r="A546" s="5"/>
    </row>
    <row r="547" spans="1:1" ht="14.25" customHeight="1">
      <c r="A547" s="5"/>
    </row>
    <row r="548" spans="1:1" ht="14.25" customHeight="1">
      <c r="A548" s="5"/>
    </row>
    <row r="549" spans="1:1" ht="14.25" customHeight="1">
      <c r="A549" s="5"/>
    </row>
    <row r="550" spans="1:1" ht="14.25" customHeight="1">
      <c r="A550" s="5"/>
    </row>
    <row r="551" spans="1:1" ht="14.25" customHeight="1">
      <c r="A551" s="5"/>
    </row>
    <row r="552" spans="1:1" ht="14.25" customHeight="1">
      <c r="A552" s="5"/>
    </row>
    <row r="553" spans="1:1" ht="14.25" customHeight="1">
      <c r="A553" s="5"/>
    </row>
    <row r="554" spans="1:1" ht="14.25" customHeight="1">
      <c r="A554" s="5"/>
    </row>
    <row r="555" spans="1:1" ht="14.25" customHeight="1">
      <c r="A555" s="5"/>
    </row>
    <row r="556" spans="1:1" ht="14.25" customHeight="1">
      <c r="A556" s="5"/>
    </row>
    <row r="557" spans="1:1" ht="14.25" customHeight="1">
      <c r="A557" s="5"/>
    </row>
    <row r="558" spans="1:1" ht="14.25" customHeight="1">
      <c r="A558" s="5"/>
    </row>
    <row r="559" spans="1:1" ht="14.25" customHeight="1">
      <c r="A559" s="5"/>
    </row>
    <row r="560" spans="1:1" ht="14.25" customHeight="1">
      <c r="A560" s="5"/>
    </row>
    <row r="561" spans="1:1" ht="14.25" customHeight="1">
      <c r="A561" s="5"/>
    </row>
    <row r="562" spans="1:1" ht="14.25" customHeight="1">
      <c r="A562" s="5"/>
    </row>
    <row r="563" spans="1:1" ht="14.25" customHeight="1">
      <c r="A563" s="5"/>
    </row>
    <row r="564" spans="1:1" ht="14.25" customHeight="1">
      <c r="A564" s="5"/>
    </row>
    <row r="565" spans="1:1" ht="14.25" customHeight="1">
      <c r="A565" s="5"/>
    </row>
    <row r="566" spans="1:1" ht="14.25" customHeight="1">
      <c r="A566" s="5"/>
    </row>
    <row r="567" spans="1:1" ht="14.25" customHeight="1">
      <c r="A567" s="5"/>
    </row>
    <row r="568" spans="1:1" ht="14.25" customHeight="1">
      <c r="A568" s="5"/>
    </row>
    <row r="569" spans="1:1" ht="14.25" customHeight="1">
      <c r="A569" s="5"/>
    </row>
    <row r="570" spans="1:1" ht="14.25" customHeight="1">
      <c r="A570" s="5"/>
    </row>
    <row r="571" spans="1:1" ht="14.25" customHeight="1">
      <c r="A571" s="5"/>
    </row>
    <row r="572" spans="1:1" ht="14.25" customHeight="1">
      <c r="A572" s="5"/>
    </row>
    <row r="573" spans="1:1" ht="14.25" customHeight="1">
      <c r="A573" s="5"/>
    </row>
    <row r="574" spans="1:1" ht="14.25" customHeight="1">
      <c r="A574" s="5"/>
    </row>
    <row r="575" spans="1:1" ht="14.25" customHeight="1">
      <c r="A575" s="5"/>
    </row>
    <row r="576" spans="1:1" ht="14.25" customHeight="1">
      <c r="A576" s="5"/>
    </row>
    <row r="577" spans="1:1" ht="14.25" customHeight="1">
      <c r="A577" s="5"/>
    </row>
    <row r="578" spans="1:1" ht="14.25" customHeight="1">
      <c r="A578" s="5"/>
    </row>
    <row r="579" spans="1:1" ht="14.25" customHeight="1">
      <c r="A579" s="5"/>
    </row>
    <row r="580" spans="1:1" ht="14.25" customHeight="1">
      <c r="A580" s="5"/>
    </row>
    <row r="581" spans="1:1" ht="14.25" customHeight="1">
      <c r="A581" s="5"/>
    </row>
    <row r="582" spans="1:1" ht="14.25" customHeight="1">
      <c r="A582" s="5"/>
    </row>
    <row r="583" spans="1:1" ht="14.25" customHeight="1">
      <c r="A583" s="5"/>
    </row>
    <row r="584" spans="1:1" ht="14.25" customHeight="1">
      <c r="A584" s="5"/>
    </row>
    <row r="585" spans="1:1" ht="14.25" customHeight="1">
      <c r="A585" s="5"/>
    </row>
    <row r="586" spans="1:1" ht="14.25" customHeight="1">
      <c r="A586" s="5"/>
    </row>
    <row r="587" spans="1:1" ht="14.25" customHeight="1">
      <c r="A587" s="5"/>
    </row>
    <row r="588" spans="1:1" ht="14.25" customHeight="1">
      <c r="A588" s="5"/>
    </row>
    <row r="589" spans="1:1" ht="14.25" customHeight="1">
      <c r="A589" s="5"/>
    </row>
    <row r="590" spans="1:1" ht="14.25" customHeight="1">
      <c r="A590" s="5"/>
    </row>
    <row r="591" spans="1:1" ht="14.25" customHeight="1">
      <c r="A591" s="5"/>
    </row>
    <row r="592" spans="1:1" ht="14.25" customHeight="1">
      <c r="A592" s="5"/>
    </row>
    <row r="593" spans="1:1" ht="14.25" customHeight="1">
      <c r="A593" s="5"/>
    </row>
    <row r="594" spans="1:1" ht="14.25" customHeight="1">
      <c r="A594" s="5"/>
    </row>
    <row r="595" spans="1:1" ht="14.25" customHeight="1">
      <c r="A595" s="5"/>
    </row>
    <row r="596" spans="1:1" ht="14.25" customHeight="1">
      <c r="A596" s="5"/>
    </row>
    <row r="597" spans="1:1" ht="14.25" customHeight="1">
      <c r="A597" s="5"/>
    </row>
    <row r="598" spans="1:1" ht="14.25" customHeight="1">
      <c r="A598" s="5"/>
    </row>
    <row r="599" spans="1:1" ht="14.25" customHeight="1">
      <c r="A599" s="5"/>
    </row>
    <row r="600" spans="1:1" ht="14.25" customHeight="1">
      <c r="A600" s="5"/>
    </row>
    <row r="601" spans="1:1" ht="14.25" customHeight="1">
      <c r="A601" s="5"/>
    </row>
    <row r="602" spans="1:1" ht="14.25" customHeight="1">
      <c r="A602" s="5"/>
    </row>
    <row r="603" spans="1:1" ht="14.25" customHeight="1">
      <c r="A603" s="5"/>
    </row>
    <row r="604" spans="1:1" ht="14.25" customHeight="1">
      <c r="A604" s="5"/>
    </row>
    <row r="605" spans="1:1" ht="14.25" customHeight="1">
      <c r="A605" s="5"/>
    </row>
    <row r="606" spans="1:1" ht="14.25" customHeight="1">
      <c r="A606" s="5"/>
    </row>
    <row r="607" spans="1:1" ht="14.25" customHeight="1">
      <c r="A607" s="5"/>
    </row>
    <row r="608" spans="1:1" ht="14.25" customHeight="1">
      <c r="A608" s="5"/>
    </row>
    <row r="609" spans="1:1" ht="14.25" customHeight="1">
      <c r="A609" s="5"/>
    </row>
    <row r="610" spans="1:1" ht="14.25" customHeight="1">
      <c r="A610" s="5"/>
    </row>
    <row r="611" spans="1:1" ht="14.25" customHeight="1">
      <c r="A611" s="5"/>
    </row>
    <row r="612" spans="1:1" ht="14.25" customHeight="1">
      <c r="A612" s="5"/>
    </row>
    <row r="613" spans="1:1" ht="14.25" customHeight="1">
      <c r="A613" s="5"/>
    </row>
    <row r="614" spans="1:1" ht="14.25" customHeight="1">
      <c r="A614" s="5"/>
    </row>
    <row r="615" spans="1:1" ht="14.25" customHeight="1">
      <c r="A615" s="5"/>
    </row>
    <row r="616" spans="1:1" ht="14.25" customHeight="1">
      <c r="A616" s="5"/>
    </row>
    <row r="617" spans="1:1" ht="14.25" customHeight="1">
      <c r="A617" s="5"/>
    </row>
    <row r="618" spans="1:1" ht="14.25" customHeight="1">
      <c r="A618" s="5"/>
    </row>
    <row r="619" spans="1:1" ht="14.25" customHeight="1">
      <c r="A619" s="5"/>
    </row>
    <row r="620" spans="1:1" ht="14.25" customHeight="1">
      <c r="A620" s="5"/>
    </row>
    <row r="621" spans="1:1" ht="14.25" customHeight="1">
      <c r="A621" s="5"/>
    </row>
    <row r="622" spans="1:1" ht="14.25" customHeight="1">
      <c r="A622" s="5"/>
    </row>
    <row r="623" spans="1:1" ht="14.25" customHeight="1">
      <c r="A623" s="5"/>
    </row>
    <row r="624" spans="1:1" ht="14.25" customHeight="1">
      <c r="A624" s="5"/>
    </row>
    <row r="625" spans="1:1" ht="14.25" customHeight="1">
      <c r="A625" s="5"/>
    </row>
    <row r="626" spans="1:1" ht="14.25" customHeight="1">
      <c r="A626" s="5"/>
    </row>
    <row r="627" spans="1:1" ht="14.25" customHeight="1">
      <c r="A627" s="5"/>
    </row>
    <row r="628" spans="1:1" ht="14.25" customHeight="1">
      <c r="A628" s="5"/>
    </row>
    <row r="629" spans="1:1" ht="14.25" customHeight="1">
      <c r="A629" s="5"/>
    </row>
    <row r="630" spans="1:1" ht="14.25" customHeight="1">
      <c r="A630" s="5"/>
    </row>
    <row r="631" spans="1:1" ht="14.25" customHeight="1">
      <c r="A631" s="5"/>
    </row>
    <row r="632" spans="1:1" ht="14.25" customHeight="1">
      <c r="A632" s="5"/>
    </row>
    <row r="633" spans="1:1" ht="14.25" customHeight="1">
      <c r="A633" s="5"/>
    </row>
    <row r="634" spans="1:1" ht="14.25" customHeight="1">
      <c r="A634" s="5"/>
    </row>
    <row r="635" spans="1:1" ht="14.25" customHeight="1">
      <c r="A635" s="5"/>
    </row>
    <row r="636" spans="1:1" ht="14.25" customHeight="1">
      <c r="A636" s="5"/>
    </row>
    <row r="637" spans="1:1" ht="14.25" customHeight="1">
      <c r="A637" s="5"/>
    </row>
    <row r="638" spans="1:1" ht="14.25" customHeight="1">
      <c r="A638" s="5"/>
    </row>
    <row r="639" spans="1:1" ht="14.25" customHeight="1">
      <c r="A639" s="5"/>
    </row>
    <row r="640" spans="1:1" ht="14.25" customHeight="1">
      <c r="A640" s="5"/>
    </row>
    <row r="641" spans="1:1" ht="14.25" customHeight="1">
      <c r="A641" s="5"/>
    </row>
    <row r="642" spans="1:1" ht="14.25" customHeight="1">
      <c r="A642" s="5"/>
    </row>
    <row r="643" spans="1:1" ht="14.25" customHeight="1">
      <c r="A643" s="5"/>
    </row>
    <row r="644" spans="1:1" ht="14.25" customHeight="1">
      <c r="A644" s="5"/>
    </row>
    <row r="645" spans="1:1" ht="14.25" customHeight="1">
      <c r="A645" s="5"/>
    </row>
    <row r="646" spans="1:1" ht="14.25" customHeight="1">
      <c r="A646" s="5"/>
    </row>
    <row r="647" spans="1:1" ht="14.25" customHeight="1">
      <c r="A647" s="5"/>
    </row>
    <row r="648" spans="1:1" ht="14.25" customHeight="1">
      <c r="A648" s="5"/>
    </row>
    <row r="649" spans="1:1" ht="14.25" customHeight="1">
      <c r="A649" s="5"/>
    </row>
    <row r="650" spans="1:1" ht="14.25" customHeight="1">
      <c r="A650" s="5"/>
    </row>
    <row r="651" spans="1:1" ht="14.25" customHeight="1">
      <c r="A651" s="5"/>
    </row>
    <row r="652" spans="1:1" ht="14.25" customHeight="1">
      <c r="A652" s="5"/>
    </row>
    <row r="653" spans="1:1" ht="14.25" customHeight="1">
      <c r="A653" s="5"/>
    </row>
    <row r="654" spans="1:1" ht="14.25" customHeight="1">
      <c r="A654" s="5"/>
    </row>
    <row r="655" spans="1:1" ht="14.25" customHeight="1">
      <c r="A655" s="5"/>
    </row>
    <row r="656" spans="1:1" ht="14.25" customHeight="1">
      <c r="A656" s="5"/>
    </row>
    <row r="657" spans="1:1" ht="14.25" customHeight="1">
      <c r="A657" s="5"/>
    </row>
    <row r="658" spans="1:1" ht="14.25" customHeight="1">
      <c r="A658" s="5"/>
    </row>
    <row r="659" spans="1:1" ht="14.25" customHeight="1">
      <c r="A659" s="5"/>
    </row>
    <row r="660" spans="1:1" ht="14.25" customHeight="1">
      <c r="A660" s="5"/>
    </row>
    <row r="661" spans="1:1" ht="14.25" customHeight="1">
      <c r="A661" s="5"/>
    </row>
    <row r="662" spans="1:1" ht="14.25" customHeight="1">
      <c r="A662" s="5"/>
    </row>
    <row r="663" spans="1:1" ht="14.25" customHeight="1">
      <c r="A663" s="5"/>
    </row>
    <row r="664" spans="1:1" ht="14.25" customHeight="1">
      <c r="A664" s="5"/>
    </row>
    <row r="665" spans="1:1" ht="14.25" customHeight="1">
      <c r="A665" s="5"/>
    </row>
    <row r="666" spans="1:1" ht="14.25" customHeight="1">
      <c r="A666" s="5"/>
    </row>
    <row r="667" spans="1:1" ht="14.25" customHeight="1">
      <c r="A667" s="5"/>
    </row>
    <row r="668" spans="1:1" ht="14.25" customHeight="1">
      <c r="A668" s="5"/>
    </row>
    <row r="669" spans="1:1" ht="14.25" customHeight="1">
      <c r="A669" s="5"/>
    </row>
    <row r="670" spans="1:1" ht="14.25" customHeight="1">
      <c r="A670" s="5"/>
    </row>
    <row r="671" spans="1:1" ht="14.25" customHeight="1">
      <c r="A671" s="5"/>
    </row>
    <row r="672" spans="1:1" ht="14.25" customHeight="1">
      <c r="A672" s="5"/>
    </row>
    <row r="673" spans="1:1" ht="14.25" customHeight="1">
      <c r="A673" s="5"/>
    </row>
    <row r="674" spans="1:1" ht="14.25" customHeight="1">
      <c r="A674" s="5"/>
    </row>
    <row r="675" spans="1:1" ht="14.25" customHeight="1">
      <c r="A675" s="5"/>
    </row>
    <row r="676" spans="1:1" ht="14.25" customHeight="1">
      <c r="A676" s="5"/>
    </row>
    <row r="677" spans="1:1" ht="14.25" customHeight="1">
      <c r="A677" s="5"/>
    </row>
    <row r="678" spans="1:1" ht="14.25" customHeight="1">
      <c r="A678" s="5"/>
    </row>
    <row r="679" spans="1:1" ht="14.25" customHeight="1">
      <c r="A679" s="5"/>
    </row>
    <row r="680" spans="1:1" ht="14.25" customHeight="1">
      <c r="A680" s="5"/>
    </row>
    <row r="681" spans="1:1" ht="14.25" customHeight="1">
      <c r="A681" s="5"/>
    </row>
    <row r="682" spans="1:1" ht="14.25" customHeight="1">
      <c r="A682" s="5"/>
    </row>
    <row r="683" spans="1:1" ht="14.25" customHeight="1">
      <c r="A683" s="5"/>
    </row>
    <row r="684" spans="1:1" ht="14.25" customHeight="1">
      <c r="A684" s="5"/>
    </row>
    <row r="685" spans="1:1" ht="14.25" customHeight="1">
      <c r="A685" s="5"/>
    </row>
    <row r="686" spans="1:1" ht="14.25" customHeight="1">
      <c r="A686" s="5"/>
    </row>
    <row r="687" spans="1:1" ht="14.25" customHeight="1">
      <c r="A687" s="5"/>
    </row>
    <row r="688" spans="1:1" ht="14.25" customHeight="1">
      <c r="A688" s="5"/>
    </row>
    <row r="689" spans="1:1" ht="14.25" customHeight="1">
      <c r="A689" s="5"/>
    </row>
    <row r="690" spans="1:1" ht="14.25" customHeight="1">
      <c r="A690" s="5"/>
    </row>
    <row r="691" spans="1:1" ht="14.25" customHeight="1">
      <c r="A691" s="5"/>
    </row>
    <row r="692" spans="1:1" ht="14.25" customHeight="1">
      <c r="A692" s="5"/>
    </row>
    <row r="693" spans="1:1" ht="14.25" customHeight="1">
      <c r="A693" s="5"/>
    </row>
    <row r="694" spans="1:1" ht="14.25" customHeight="1">
      <c r="A694" s="5"/>
    </row>
    <row r="695" spans="1:1" ht="14.25" customHeight="1">
      <c r="A695" s="5"/>
    </row>
    <row r="696" spans="1:1" ht="14.25" customHeight="1">
      <c r="A696" s="5"/>
    </row>
    <row r="697" spans="1:1" ht="14.25" customHeight="1">
      <c r="A697" s="5"/>
    </row>
    <row r="698" spans="1:1" ht="14.25" customHeight="1">
      <c r="A698" s="5"/>
    </row>
    <row r="699" spans="1:1" ht="14.25" customHeight="1">
      <c r="A699" s="5"/>
    </row>
    <row r="700" spans="1:1" ht="14.25" customHeight="1">
      <c r="A700" s="5"/>
    </row>
    <row r="701" spans="1:1" ht="14.25" customHeight="1">
      <c r="A701" s="5"/>
    </row>
    <row r="702" spans="1:1" ht="14.25" customHeight="1">
      <c r="A702" s="5"/>
    </row>
    <row r="703" spans="1:1" ht="14.25" customHeight="1">
      <c r="A703" s="5"/>
    </row>
    <row r="704" spans="1:1" ht="14.25" customHeight="1">
      <c r="A704" s="5"/>
    </row>
    <row r="705" spans="1:1" ht="14.25" customHeight="1">
      <c r="A705" s="5"/>
    </row>
    <row r="706" spans="1:1" ht="14.25" customHeight="1">
      <c r="A706" s="5"/>
    </row>
    <row r="707" spans="1:1" ht="14.25" customHeight="1">
      <c r="A707" s="5"/>
    </row>
    <row r="708" spans="1:1" ht="14.25" customHeight="1">
      <c r="A708" s="5"/>
    </row>
    <row r="709" spans="1:1" ht="14.25" customHeight="1">
      <c r="A709" s="5"/>
    </row>
    <row r="710" spans="1:1" ht="14.25" customHeight="1">
      <c r="A710" s="5"/>
    </row>
    <row r="711" spans="1:1" ht="14.25" customHeight="1">
      <c r="A711" s="5"/>
    </row>
    <row r="712" spans="1:1" ht="14.25" customHeight="1">
      <c r="A712" s="5"/>
    </row>
    <row r="713" spans="1:1" ht="14.25" customHeight="1">
      <c r="A713" s="5"/>
    </row>
    <row r="714" spans="1:1" ht="14.25" customHeight="1">
      <c r="A714" s="5"/>
    </row>
    <row r="715" spans="1:1" ht="14.25" customHeight="1">
      <c r="A715" s="5"/>
    </row>
    <row r="716" spans="1:1" ht="14.25" customHeight="1">
      <c r="A716" s="5"/>
    </row>
    <row r="717" spans="1:1" ht="14.25" customHeight="1">
      <c r="A717" s="5"/>
    </row>
    <row r="718" spans="1:1" ht="14.25" customHeight="1">
      <c r="A718" s="5"/>
    </row>
    <row r="719" spans="1:1" ht="14.25" customHeight="1">
      <c r="A719" s="5"/>
    </row>
    <row r="720" spans="1:1" ht="14.25" customHeight="1">
      <c r="A720" s="5"/>
    </row>
    <row r="721" spans="1:1" ht="14.25" customHeight="1">
      <c r="A721" s="5"/>
    </row>
    <row r="722" spans="1:1" ht="14.25" customHeight="1">
      <c r="A722" s="5"/>
    </row>
    <row r="723" spans="1:1" ht="14.25" customHeight="1">
      <c r="A723" s="5"/>
    </row>
    <row r="724" spans="1:1" ht="14.25" customHeight="1">
      <c r="A724" s="5"/>
    </row>
    <row r="725" spans="1:1" ht="14.25" customHeight="1">
      <c r="A725" s="5"/>
    </row>
    <row r="726" spans="1:1" ht="14.25" customHeight="1">
      <c r="A726" s="5"/>
    </row>
    <row r="727" spans="1:1" ht="14.25" customHeight="1">
      <c r="A727" s="5"/>
    </row>
    <row r="728" spans="1:1" ht="14.25" customHeight="1">
      <c r="A728" s="5"/>
    </row>
    <row r="729" spans="1:1" ht="14.25" customHeight="1">
      <c r="A729" s="5"/>
    </row>
    <row r="730" spans="1:1" ht="14.25" customHeight="1">
      <c r="A730" s="5"/>
    </row>
    <row r="731" spans="1:1" ht="14.25" customHeight="1">
      <c r="A731" s="5"/>
    </row>
    <row r="732" spans="1:1" ht="14.25" customHeight="1">
      <c r="A732" s="5"/>
    </row>
    <row r="733" spans="1:1" ht="14.25" customHeight="1">
      <c r="A733" s="5"/>
    </row>
    <row r="734" spans="1:1" ht="14.25" customHeight="1">
      <c r="A734" s="5"/>
    </row>
    <row r="735" spans="1:1" ht="14.25" customHeight="1">
      <c r="A735" s="5"/>
    </row>
    <row r="736" spans="1:1" ht="14.25" customHeight="1">
      <c r="A736" s="5"/>
    </row>
    <row r="737" spans="1:1" ht="14.25" customHeight="1">
      <c r="A737" s="5"/>
    </row>
    <row r="738" spans="1:1" ht="14.25" customHeight="1">
      <c r="A738" s="5"/>
    </row>
    <row r="739" spans="1:1" ht="14.25" customHeight="1">
      <c r="A739" s="5"/>
    </row>
    <row r="740" spans="1:1" ht="14.25" customHeight="1">
      <c r="A740" s="5"/>
    </row>
    <row r="741" spans="1:1" ht="14.25" customHeight="1">
      <c r="A741" s="5"/>
    </row>
    <row r="742" spans="1:1" ht="14.25" customHeight="1">
      <c r="A742" s="5"/>
    </row>
    <row r="743" spans="1:1" ht="14.25" customHeight="1">
      <c r="A743" s="5"/>
    </row>
    <row r="744" spans="1:1" ht="14.25" customHeight="1">
      <c r="A744" s="5"/>
    </row>
    <row r="745" spans="1:1" ht="14.25" customHeight="1">
      <c r="A745" s="5"/>
    </row>
    <row r="746" spans="1:1" ht="14.25" customHeight="1">
      <c r="A746" s="5"/>
    </row>
    <row r="747" spans="1:1" ht="14.25" customHeight="1">
      <c r="A747" s="5"/>
    </row>
    <row r="748" spans="1:1" ht="14.25" customHeight="1">
      <c r="A748" s="5"/>
    </row>
    <row r="749" spans="1:1" ht="14.25" customHeight="1">
      <c r="A749" s="5"/>
    </row>
    <row r="750" spans="1:1" ht="14.25" customHeight="1">
      <c r="A750" s="5"/>
    </row>
    <row r="751" spans="1:1" ht="14.25" customHeight="1">
      <c r="A751" s="5"/>
    </row>
    <row r="752" spans="1:1" ht="14.25" customHeight="1">
      <c r="A752" s="5"/>
    </row>
    <row r="753" spans="1:1" ht="14.25" customHeight="1">
      <c r="A753" s="5"/>
    </row>
    <row r="754" spans="1:1" ht="14.25" customHeight="1">
      <c r="A754" s="5"/>
    </row>
    <row r="755" spans="1:1" ht="14.25" customHeight="1">
      <c r="A755" s="5"/>
    </row>
    <row r="756" spans="1:1" ht="14.25" customHeight="1">
      <c r="A756" s="5"/>
    </row>
    <row r="757" spans="1:1" ht="14.25" customHeight="1">
      <c r="A757" s="5"/>
    </row>
    <row r="758" spans="1:1" ht="14.25" customHeight="1">
      <c r="A758" s="5"/>
    </row>
    <row r="759" spans="1:1" ht="14.25" customHeight="1">
      <c r="A759" s="5"/>
    </row>
    <row r="760" spans="1:1" ht="14.25" customHeight="1">
      <c r="A760" s="5"/>
    </row>
    <row r="761" spans="1:1" ht="14.25" customHeight="1">
      <c r="A761" s="5"/>
    </row>
    <row r="762" spans="1:1" ht="14.25" customHeight="1">
      <c r="A762" s="5"/>
    </row>
    <row r="763" spans="1:1" ht="14.25" customHeight="1">
      <c r="A763" s="5"/>
    </row>
    <row r="764" spans="1:1" ht="14.25" customHeight="1">
      <c r="A764" s="5"/>
    </row>
    <row r="765" spans="1:1" ht="14.25" customHeight="1">
      <c r="A765" s="5"/>
    </row>
    <row r="766" spans="1:1" ht="14.25" customHeight="1">
      <c r="A766" s="5"/>
    </row>
    <row r="767" spans="1:1" ht="14.25" customHeight="1">
      <c r="A767" s="5"/>
    </row>
    <row r="768" spans="1:1" ht="14.25" customHeight="1">
      <c r="A768" s="5"/>
    </row>
    <row r="769" spans="1:1" ht="14.25" customHeight="1">
      <c r="A769" s="5"/>
    </row>
    <row r="770" spans="1:1" ht="14.25" customHeight="1">
      <c r="A770" s="5"/>
    </row>
    <row r="771" spans="1:1" ht="14.25" customHeight="1">
      <c r="A771" s="5"/>
    </row>
    <row r="772" spans="1:1" ht="14.25" customHeight="1">
      <c r="A772" s="5"/>
    </row>
    <row r="773" spans="1:1" ht="14.25" customHeight="1">
      <c r="A773" s="5"/>
    </row>
    <row r="774" spans="1:1" ht="14.25" customHeight="1">
      <c r="A774" s="5"/>
    </row>
    <row r="775" spans="1:1" ht="14.25" customHeight="1">
      <c r="A775" s="5"/>
    </row>
    <row r="776" spans="1:1" ht="14.25" customHeight="1">
      <c r="A776" s="5"/>
    </row>
    <row r="777" spans="1:1" ht="14.25" customHeight="1">
      <c r="A777" s="5"/>
    </row>
    <row r="778" spans="1:1" ht="14.25" customHeight="1">
      <c r="A778" s="5"/>
    </row>
    <row r="779" spans="1:1" ht="14.25" customHeight="1">
      <c r="A779" s="5"/>
    </row>
    <row r="780" spans="1:1" ht="14.25" customHeight="1">
      <c r="A780" s="5"/>
    </row>
    <row r="781" spans="1:1" ht="14.25" customHeight="1">
      <c r="A781" s="5"/>
    </row>
    <row r="782" spans="1:1" ht="14.25" customHeight="1">
      <c r="A782" s="5"/>
    </row>
    <row r="783" spans="1:1" ht="14.25" customHeight="1">
      <c r="A783" s="5"/>
    </row>
    <row r="784" spans="1:1" ht="14.25" customHeight="1">
      <c r="A784" s="5"/>
    </row>
    <row r="785" spans="1:1" ht="14.25" customHeight="1">
      <c r="A785" s="5"/>
    </row>
    <row r="786" spans="1:1" ht="14.25" customHeight="1">
      <c r="A786" s="5"/>
    </row>
    <row r="787" spans="1:1" ht="14.25" customHeight="1">
      <c r="A787" s="5"/>
    </row>
    <row r="788" spans="1:1" ht="14.25" customHeight="1">
      <c r="A788" s="5"/>
    </row>
    <row r="789" spans="1:1" ht="14.25" customHeight="1">
      <c r="A789" s="5"/>
    </row>
    <row r="790" spans="1:1" ht="14.25" customHeight="1">
      <c r="A790" s="5"/>
    </row>
    <row r="791" spans="1:1" ht="14.25" customHeight="1">
      <c r="A791" s="5"/>
    </row>
    <row r="792" spans="1:1" ht="14.25" customHeight="1">
      <c r="A792" s="5"/>
    </row>
    <row r="793" spans="1:1" ht="14.25" customHeight="1">
      <c r="A793" s="5"/>
    </row>
    <row r="794" spans="1:1" ht="14.25" customHeight="1">
      <c r="A794" s="5"/>
    </row>
    <row r="795" spans="1:1" ht="14.25" customHeight="1">
      <c r="A795" s="5"/>
    </row>
    <row r="796" spans="1:1" ht="14.25" customHeight="1">
      <c r="A796" s="5"/>
    </row>
    <row r="797" spans="1:1" ht="14.25" customHeight="1">
      <c r="A797" s="5"/>
    </row>
    <row r="798" spans="1:1" ht="14.25" customHeight="1">
      <c r="A798" s="5"/>
    </row>
    <row r="799" spans="1:1" ht="14.25" customHeight="1">
      <c r="A799" s="5"/>
    </row>
    <row r="800" spans="1:1" ht="14.25" customHeight="1">
      <c r="A800" s="5"/>
    </row>
    <row r="801" spans="1:1" ht="14.25" customHeight="1">
      <c r="A801" s="5"/>
    </row>
    <row r="802" spans="1:1" ht="14.25" customHeight="1">
      <c r="A802" s="5"/>
    </row>
    <row r="803" spans="1:1" ht="14.25" customHeight="1">
      <c r="A803" s="5"/>
    </row>
    <row r="804" spans="1:1" ht="14.25" customHeight="1">
      <c r="A804" s="5"/>
    </row>
    <row r="805" spans="1:1" ht="14.25" customHeight="1">
      <c r="A805" s="5"/>
    </row>
    <row r="806" spans="1:1" ht="14.25" customHeight="1">
      <c r="A806" s="5"/>
    </row>
    <row r="807" spans="1:1" ht="14.25" customHeight="1">
      <c r="A807" s="5"/>
    </row>
    <row r="808" spans="1:1" ht="14.25" customHeight="1">
      <c r="A808" s="5"/>
    </row>
    <row r="809" spans="1:1" ht="14.25" customHeight="1">
      <c r="A809" s="5"/>
    </row>
    <row r="810" spans="1:1" ht="14.25" customHeight="1">
      <c r="A810" s="5"/>
    </row>
    <row r="811" spans="1:1" ht="14.25" customHeight="1">
      <c r="A811" s="5"/>
    </row>
    <row r="812" spans="1:1" ht="14.25" customHeight="1">
      <c r="A812" s="5"/>
    </row>
    <row r="813" spans="1:1" ht="14.25" customHeight="1">
      <c r="A813" s="5"/>
    </row>
    <row r="814" spans="1:1" ht="14.25" customHeight="1">
      <c r="A814" s="5"/>
    </row>
    <row r="815" spans="1:1" ht="14.25" customHeight="1">
      <c r="A815" s="5"/>
    </row>
    <row r="816" spans="1:1" ht="14.25" customHeight="1">
      <c r="A816" s="5"/>
    </row>
    <row r="817" spans="1:1" ht="14.25" customHeight="1">
      <c r="A817" s="5"/>
    </row>
    <row r="818" spans="1:1" ht="14.25" customHeight="1">
      <c r="A818" s="5"/>
    </row>
    <row r="819" spans="1:1" ht="14.25" customHeight="1">
      <c r="A819" s="5"/>
    </row>
    <row r="820" spans="1:1" ht="14.25" customHeight="1">
      <c r="A820" s="5"/>
    </row>
    <row r="821" spans="1:1" ht="14.25" customHeight="1">
      <c r="A821" s="5"/>
    </row>
    <row r="822" spans="1:1" ht="14.25" customHeight="1">
      <c r="A822" s="5"/>
    </row>
    <row r="823" spans="1:1" ht="14.25" customHeight="1">
      <c r="A823" s="5"/>
    </row>
    <row r="824" spans="1:1" ht="14.25" customHeight="1">
      <c r="A824" s="5"/>
    </row>
    <row r="825" spans="1:1" ht="14.25" customHeight="1">
      <c r="A825" s="5"/>
    </row>
    <row r="826" spans="1:1" ht="14.25" customHeight="1">
      <c r="A826" s="5"/>
    </row>
    <row r="827" spans="1:1" ht="14.25" customHeight="1">
      <c r="A827" s="5"/>
    </row>
    <row r="828" spans="1:1" ht="14.25" customHeight="1">
      <c r="A828" s="5"/>
    </row>
    <row r="829" spans="1:1" ht="14.25" customHeight="1">
      <c r="A829" s="5"/>
    </row>
    <row r="830" spans="1:1" ht="14.25" customHeight="1">
      <c r="A830" s="5"/>
    </row>
    <row r="831" spans="1:1" ht="14.25" customHeight="1">
      <c r="A831" s="5"/>
    </row>
    <row r="832" spans="1:1" ht="14.25" customHeight="1">
      <c r="A832" s="5"/>
    </row>
    <row r="833" spans="1:1" ht="14.25" customHeight="1">
      <c r="A833" s="5"/>
    </row>
    <row r="834" spans="1:1" ht="14.25" customHeight="1">
      <c r="A834" s="5"/>
    </row>
    <row r="835" spans="1:1" ht="14.25" customHeight="1">
      <c r="A835" s="5"/>
    </row>
    <row r="836" spans="1:1" ht="14.25" customHeight="1">
      <c r="A836" s="5"/>
    </row>
    <row r="837" spans="1:1" ht="14.25" customHeight="1">
      <c r="A837" s="5"/>
    </row>
    <row r="838" spans="1:1" ht="14.25" customHeight="1">
      <c r="A838" s="5"/>
    </row>
    <row r="839" spans="1:1" ht="14.25" customHeight="1">
      <c r="A839" s="5"/>
    </row>
    <row r="840" spans="1:1" ht="14.25" customHeight="1">
      <c r="A840" s="5"/>
    </row>
    <row r="841" spans="1:1" ht="14.25" customHeight="1">
      <c r="A841" s="5"/>
    </row>
    <row r="842" spans="1:1" ht="14.25" customHeight="1">
      <c r="A842" s="5"/>
    </row>
    <row r="843" spans="1:1" ht="14.25" customHeight="1">
      <c r="A843" s="5"/>
    </row>
    <row r="844" spans="1:1" ht="14.25" customHeight="1">
      <c r="A844" s="5"/>
    </row>
    <row r="845" spans="1:1" ht="14.25" customHeight="1">
      <c r="A845" s="5"/>
    </row>
    <row r="846" spans="1:1" ht="14.25" customHeight="1">
      <c r="A846" s="5"/>
    </row>
    <row r="847" spans="1:1" ht="14.25" customHeight="1">
      <c r="A847" s="5"/>
    </row>
    <row r="848" spans="1:1" ht="14.25" customHeight="1">
      <c r="A848" s="5"/>
    </row>
    <row r="849" spans="1:1" ht="14.25" customHeight="1">
      <c r="A849" s="5"/>
    </row>
    <row r="850" spans="1:1" ht="14.25" customHeight="1">
      <c r="A850" s="5"/>
    </row>
    <row r="851" spans="1:1" ht="14.25" customHeight="1">
      <c r="A851" s="5"/>
    </row>
    <row r="852" spans="1:1" ht="14.25" customHeight="1">
      <c r="A852" s="5"/>
    </row>
    <row r="853" spans="1:1" ht="14.25" customHeight="1">
      <c r="A853" s="5"/>
    </row>
    <row r="854" spans="1:1" ht="14.25" customHeight="1">
      <c r="A854" s="5"/>
    </row>
    <row r="855" spans="1:1" ht="14.25" customHeight="1">
      <c r="A855" s="5"/>
    </row>
    <row r="856" spans="1:1" ht="14.25" customHeight="1">
      <c r="A856" s="5"/>
    </row>
    <row r="857" spans="1:1" ht="14.25" customHeight="1">
      <c r="A857" s="5"/>
    </row>
    <row r="858" spans="1:1" ht="14.25" customHeight="1">
      <c r="A858" s="5"/>
    </row>
    <row r="859" spans="1:1" ht="14.25" customHeight="1">
      <c r="A859" s="5"/>
    </row>
    <row r="860" spans="1:1" ht="14.25" customHeight="1">
      <c r="A860" s="5"/>
    </row>
    <row r="861" spans="1:1" ht="14.25" customHeight="1">
      <c r="A861" s="5"/>
    </row>
    <row r="862" spans="1:1" ht="14.25" customHeight="1">
      <c r="A862" s="5"/>
    </row>
    <row r="863" spans="1:1" ht="14.25" customHeight="1">
      <c r="A863" s="5"/>
    </row>
    <row r="864" spans="1:1" ht="14.25" customHeight="1">
      <c r="A864" s="5"/>
    </row>
    <row r="865" spans="1:1" ht="14.25" customHeight="1">
      <c r="A865" s="5"/>
    </row>
    <row r="866" spans="1:1" ht="14.25" customHeight="1">
      <c r="A866" s="5"/>
    </row>
    <row r="867" spans="1:1" ht="14.25" customHeight="1">
      <c r="A867" s="5"/>
    </row>
    <row r="868" spans="1:1" ht="14.25" customHeight="1">
      <c r="A868" s="5"/>
    </row>
    <row r="869" spans="1:1" ht="14.25" customHeight="1">
      <c r="A869" s="5"/>
    </row>
    <row r="870" spans="1:1" ht="14.25" customHeight="1">
      <c r="A870" s="5"/>
    </row>
    <row r="871" spans="1:1" ht="14.25" customHeight="1">
      <c r="A871" s="5"/>
    </row>
    <row r="872" spans="1:1" ht="14.25" customHeight="1">
      <c r="A872" s="5"/>
    </row>
    <row r="873" spans="1:1" ht="14.25" customHeight="1">
      <c r="A873" s="5"/>
    </row>
    <row r="874" spans="1:1" ht="14.25" customHeight="1">
      <c r="A874" s="5"/>
    </row>
    <row r="875" spans="1:1" ht="14.25" customHeight="1">
      <c r="A875" s="5"/>
    </row>
    <row r="876" spans="1:1" ht="14.25" customHeight="1">
      <c r="A876" s="5"/>
    </row>
    <row r="877" spans="1:1" ht="14.25" customHeight="1">
      <c r="A877" s="5"/>
    </row>
    <row r="878" spans="1:1" ht="14.25" customHeight="1">
      <c r="A878" s="5"/>
    </row>
    <row r="879" spans="1:1" ht="14.25" customHeight="1">
      <c r="A879" s="5"/>
    </row>
    <row r="880" spans="1:1" ht="14.25" customHeight="1">
      <c r="A880" s="5"/>
    </row>
    <row r="881" spans="1:1" ht="14.25" customHeight="1">
      <c r="A881" s="5"/>
    </row>
    <row r="882" spans="1:1" ht="14.25" customHeight="1">
      <c r="A882" s="5"/>
    </row>
    <row r="883" spans="1:1" ht="14.25" customHeight="1">
      <c r="A883" s="5"/>
    </row>
    <row r="884" spans="1:1" ht="14.25" customHeight="1">
      <c r="A884" s="5"/>
    </row>
    <row r="885" spans="1:1" ht="14.25" customHeight="1">
      <c r="A885" s="5"/>
    </row>
    <row r="886" spans="1:1" ht="14.25" customHeight="1">
      <c r="A886" s="5"/>
    </row>
    <row r="887" spans="1:1" ht="14.25" customHeight="1">
      <c r="A887" s="5"/>
    </row>
    <row r="888" spans="1:1" ht="14.25" customHeight="1">
      <c r="A888" s="5"/>
    </row>
    <row r="889" spans="1:1" ht="14.25" customHeight="1">
      <c r="A889" s="5"/>
    </row>
    <row r="890" spans="1:1" ht="14.25" customHeight="1">
      <c r="A890" s="5"/>
    </row>
    <row r="891" spans="1:1" ht="14.25" customHeight="1">
      <c r="A891" s="5"/>
    </row>
    <row r="892" spans="1:1" ht="14.25" customHeight="1">
      <c r="A892" s="5"/>
    </row>
    <row r="893" spans="1:1" ht="14.25" customHeight="1">
      <c r="A893" s="5"/>
    </row>
    <row r="894" spans="1:1" ht="14.25" customHeight="1">
      <c r="A894" s="5"/>
    </row>
    <row r="895" spans="1:1" ht="14.25" customHeight="1">
      <c r="A895" s="5"/>
    </row>
    <row r="896" spans="1:1" ht="14.25" customHeight="1">
      <c r="A896" s="5"/>
    </row>
    <row r="897" spans="1:1" ht="14.25" customHeight="1">
      <c r="A897" s="5"/>
    </row>
    <row r="898" spans="1:1" ht="14.25" customHeight="1">
      <c r="A898" s="5"/>
    </row>
    <row r="899" spans="1:1" ht="14.25" customHeight="1">
      <c r="A899" s="5"/>
    </row>
    <row r="900" spans="1:1" ht="14.25" customHeight="1">
      <c r="A900" s="5"/>
    </row>
    <row r="901" spans="1:1" ht="14.25" customHeight="1">
      <c r="A901" s="5"/>
    </row>
    <row r="902" spans="1:1" ht="14.25" customHeight="1">
      <c r="A902" s="5"/>
    </row>
    <row r="903" spans="1:1" ht="14.25" customHeight="1">
      <c r="A903" s="5"/>
    </row>
    <row r="904" spans="1:1" ht="14.25" customHeight="1">
      <c r="A904" s="5"/>
    </row>
    <row r="905" spans="1:1" ht="14.25" customHeight="1">
      <c r="A905" s="5"/>
    </row>
    <row r="906" spans="1:1" ht="14.25" customHeight="1">
      <c r="A906" s="5"/>
    </row>
    <row r="907" spans="1:1" ht="14.25" customHeight="1">
      <c r="A907" s="5"/>
    </row>
    <row r="908" spans="1:1" ht="14.25" customHeight="1">
      <c r="A908" s="5"/>
    </row>
    <row r="909" spans="1:1" ht="14.25" customHeight="1">
      <c r="A909" s="5"/>
    </row>
    <row r="910" spans="1:1" ht="14.25" customHeight="1">
      <c r="A910" s="5"/>
    </row>
    <row r="911" spans="1:1" ht="14.25" customHeight="1">
      <c r="A911" s="5"/>
    </row>
    <row r="912" spans="1:1" ht="14.25" customHeight="1">
      <c r="A912" s="5"/>
    </row>
    <row r="913" spans="1:1" ht="14.25" customHeight="1">
      <c r="A913" s="5"/>
    </row>
    <row r="914" spans="1:1" ht="14.25" customHeight="1">
      <c r="A914" s="5"/>
    </row>
    <row r="915" spans="1:1" ht="14.25" customHeight="1">
      <c r="A915" s="5"/>
    </row>
    <row r="916" spans="1:1" ht="14.25" customHeight="1">
      <c r="A916" s="5"/>
    </row>
    <row r="917" spans="1:1" ht="14.25" customHeight="1">
      <c r="A917" s="5"/>
    </row>
    <row r="918" spans="1:1" ht="14.25" customHeight="1">
      <c r="A918" s="5"/>
    </row>
    <row r="919" spans="1:1" ht="14.25" customHeight="1">
      <c r="A919" s="5"/>
    </row>
    <row r="920" spans="1:1" ht="14.25" customHeight="1">
      <c r="A920" s="5"/>
    </row>
    <row r="921" spans="1:1" ht="14.25" customHeight="1">
      <c r="A921" s="5"/>
    </row>
    <row r="922" spans="1:1" ht="14.25" customHeight="1">
      <c r="A922" s="5"/>
    </row>
    <row r="923" spans="1:1" ht="14.25" customHeight="1">
      <c r="A923" s="5"/>
    </row>
    <row r="924" spans="1:1" ht="14.25" customHeight="1">
      <c r="A924" s="5"/>
    </row>
    <row r="925" spans="1:1" ht="14.25" customHeight="1">
      <c r="A925" s="5"/>
    </row>
    <row r="926" spans="1:1" ht="14.25" customHeight="1">
      <c r="A926" s="5"/>
    </row>
    <row r="927" spans="1:1" ht="14.25" customHeight="1">
      <c r="A927" s="5"/>
    </row>
    <row r="928" spans="1:1" ht="14.25" customHeight="1">
      <c r="A928" s="5"/>
    </row>
    <row r="929" spans="1:1" ht="14.25" customHeight="1">
      <c r="A929" s="5"/>
    </row>
    <row r="930" spans="1:1" ht="14.25" customHeight="1">
      <c r="A930" s="5"/>
    </row>
    <row r="931" spans="1:1" ht="14.25" customHeight="1">
      <c r="A931" s="5"/>
    </row>
    <row r="932" spans="1:1" ht="14.25" customHeight="1">
      <c r="A932" s="5"/>
    </row>
    <row r="933" spans="1:1" ht="14.25" customHeight="1">
      <c r="A933" s="5"/>
    </row>
    <row r="934" spans="1:1" ht="14.25" customHeight="1">
      <c r="A934" s="5"/>
    </row>
    <row r="935" spans="1:1" ht="14.25" customHeight="1">
      <c r="A935" s="5"/>
    </row>
    <row r="936" spans="1:1" ht="14.25" customHeight="1">
      <c r="A936" s="5"/>
    </row>
    <row r="937" spans="1:1" ht="14.25" customHeight="1">
      <c r="A937" s="5"/>
    </row>
    <row r="938" spans="1:1" ht="14.25" customHeight="1">
      <c r="A938" s="5"/>
    </row>
    <row r="939" spans="1:1" ht="14.25" customHeight="1">
      <c r="A939" s="5"/>
    </row>
    <row r="940" spans="1:1" ht="14.25" customHeight="1">
      <c r="A940" s="5"/>
    </row>
    <row r="941" spans="1:1" ht="14.25" customHeight="1">
      <c r="A941" s="5"/>
    </row>
    <row r="942" spans="1:1" ht="14.25" customHeight="1">
      <c r="A942" s="5"/>
    </row>
    <row r="943" spans="1:1" ht="14.25" customHeight="1">
      <c r="A943" s="5"/>
    </row>
    <row r="944" spans="1:1" ht="14.25" customHeight="1">
      <c r="A944" s="5"/>
    </row>
    <row r="945" spans="1:1" ht="14.25" customHeight="1">
      <c r="A945" s="5"/>
    </row>
    <row r="946" spans="1:1" ht="14.25" customHeight="1">
      <c r="A946" s="5"/>
    </row>
    <row r="947" spans="1:1" ht="14.25" customHeight="1">
      <c r="A947" s="5"/>
    </row>
    <row r="948" spans="1:1" ht="14.25" customHeight="1">
      <c r="A948" s="5"/>
    </row>
    <row r="949" spans="1:1" ht="14.25" customHeight="1">
      <c r="A949" s="5"/>
    </row>
    <row r="950" spans="1:1" ht="14.25" customHeight="1">
      <c r="A950" s="5"/>
    </row>
    <row r="951" spans="1:1" ht="14.25" customHeight="1">
      <c r="A951" s="5"/>
    </row>
    <row r="952" spans="1:1" ht="14.25" customHeight="1">
      <c r="A952" s="5"/>
    </row>
    <row r="953" spans="1:1" ht="14.25" customHeight="1">
      <c r="A953" s="5"/>
    </row>
    <row r="954" spans="1:1" ht="14.25" customHeight="1">
      <c r="A954" s="5"/>
    </row>
    <row r="955" spans="1:1" ht="14.25" customHeight="1">
      <c r="A955" s="5"/>
    </row>
    <row r="956" spans="1:1" ht="14.25" customHeight="1">
      <c r="A956" s="5"/>
    </row>
    <row r="957" spans="1:1" ht="14.25" customHeight="1">
      <c r="A957" s="5"/>
    </row>
    <row r="958" spans="1:1" ht="14.25" customHeight="1">
      <c r="A958" s="5"/>
    </row>
    <row r="959" spans="1:1" ht="14.25" customHeight="1">
      <c r="A959" s="5"/>
    </row>
    <row r="960" spans="1:1" ht="14.25" customHeight="1">
      <c r="A960" s="5"/>
    </row>
    <row r="961" spans="1:1" ht="14.25" customHeight="1">
      <c r="A961" s="5"/>
    </row>
    <row r="962" spans="1:1" ht="14.25" customHeight="1">
      <c r="A962" s="5"/>
    </row>
    <row r="963" spans="1:1" ht="14.25" customHeight="1">
      <c r="A963" s="5"/>
    </row>
    <row r="964" spans="1:1" ht="14.25" customHeight="1">
      <c r="A964" s="5"/>
    </row>
    <row r="965" spans="1:1" ht="14.25" customHeight="1">
      <c r="A965" s="5"/>
    </row>
    <row r="966" spans="1:1" ht="14.25" customHeight="1">
      <c r="A966" s="5"/>
    </row>
    <row r="967" spans="1:1" ht="14.25" customHeight="1">
      <c r="A967" s="5"/>
    </row>
    <row r="968" spans="1:1" ht="14.25" customHeight="1">
      <c r="A968" s="5"/>
    </row>
    <row r="969" spans="1:1" ht="14.25" customHeight="1">
      <c r="A969" s="5"/>
    </row>
    <row r="970" spans="1:1" ht="14.25" customHeight="1">
      <c r="A970" s="5"/>
    </row>
    <row r="971" spans="1:1" ht="14.25" customHeight="1">
      <c r="A971" s="5"/>
    </row>
  </sheetData>
  <conditionalFormatting sqref="H2:H471">
    <cfRule type="expression" dxfId="29" priority="1">
      <formula>$H2="Interested"</formula>
    </cfRule>
    <cfRule type="expression" dxfId="28" priority="2">
      <formula>$H2="Referral Sent to CCU"</formula>
    </cfRule>
    <cfRule type="expression" dxfId="27" priority="3">
      <formula>$H2="Pending Approval"</formula>
    </cfRule>
    <cfRule type="expression" dxfId="26" priority="4">
      <formula>$H2="Approved / Setup"</formula>
    </cfRule>
    <cfRule type="expression" dxfId="25" priority="5">
      <formula>$H2="Active"</formula>
    </cfRule>
    <cfRule type="expression" dxfId="24" priority="6">
      <formula>OR($H2="On Hold",$H2="Closed")</formula>
    </cfRule>
  </conditionalFormatting>
  <conditionalFormatting sqref="R2:R471">
    <cfRule type="expression" dxfId="23" priority="7">
      <formula>AND($R2&lt;TODAY(),$R2&lt;&gt;"",$H2&lt;&gt;"Active",$H2&lt;&gt;"Closed")</formula>
    </cfRule>
  </conditionalFormatting>
  <dataValidations count="2">
    <dataValidation type="list" allowBlank="1" sqref="Q2:Q471" xr:uid="{00000000-0002-0000-0200-000000000000}">
      <formula1>"Kathleen,Binay,Rajan,Other"</formula1>
    </dataValidation>
    <dataValidation type="list" allowBlank="1" sqref="H2:H471" xr:uid="{00000000-0002-0000-0200-000001000000}">
      <formula1>"Interested,Referral Sent to CCU,Pending Approval,Approved / Setup,Active,On Hold,Closed"</formula1>
    </dataValidation>
  </dataValidations>
  <hyperlinks>
    <hyperlink ref="S4" r:id="rId1" xr:uid="{00000000-0004-0000-0200-000000000000}"/>
    <hyperlink ref="S13" r:id="rId2" xr:uid="{00000000-0004-0000-0200-000001000000}"/>
    <hyperlink ref="S14" r:id="rId3" xr:uid="{00000000-0004-0000-0200-000002000000}"/>
  </hyperlinks>
  <pageMargins left="0.7" right="0.7" top="0.75" bottom="0.75" header="0" footer="0"/>
  <pageSetup orientation="landscape"/>
  <legacy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79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11.59765625" customWidth="1"/>
    <col min="2" max="2" width="24" customWidth="1"/>
    <col min="3" max="3" width="18" customWidth="1"/>
    <col min="4" max="4" width="14.19921875" customWidth="1"/>
    <col min="5" max="5" width="11" customWidth="1"/>
    <col min="6" max="6" width="14" customWidth="1"/>
    <col min="7" max="7" width="42" customWidth="1"/>
  </cols>
  <sheetData>
    <row r="1" spans="1:7" ht="33.75" customHeight="1">
      <c r="A1" s="1" t="s">
        <v>8</v>
      </c>
      <c r="B1" s="1" t="s">
        <v>11</v>
      </c>
      <c r="C1" s="1" t="s">
        <v>14</v>
      </c>
      <c r="D1" s="1" t="s">
        <v>20</v>
      </c>
      <c r="E1" s="1" t="s">
        <v>23</v>
      </c>
      <c r="F1" s="1" t="s">
        <v>25</v>
      </c>
      <c r="G1" s="1" t="s">
        <v>26</v>
      </c>
    </row>
    <row r="2" spans="1:7" ht="14.25" customHeight="1">
      <c r="A2" s="4" t="s">
        <v>29</v>
      </c>
      <c r="B2" s="6" t="s">
        <v>33</v>
      </c>
      <c r="C2" s="6"/>
      <c r="D2" s="6" t="s">
        <v>35</v>
      </c>
      <c r="E2" s="6" t="s">
        <v>38</v>
      </c>
      <c r="F2" s="6" t="s">
        <v>40</v>
      </c>
      <c r="G2" s="9"/>
    </row>
    <row r="3" spans="1:7" ht="14.25" customHeight="1">
      <c r="A3" s="4" t="s">
        <v>47</v>
      </c>
      <c r="B3" s="6" t="s">
        <v>49</v>
      </c>
      <c r="C3" s="6"/>
      <c r="D3" s="6" t="s">
        <v>35</v>
      </c>
      <c r="E3" s="6" t="s">
        <v>38</v>
      </c>
      <c r="F3" s="6" t="s">
        <v>40</v>
      </c>
      <c r="G3" s="9"/>
    </row>
    <row r="4" spans="1:7" ht="14.25" customHeight="1">
      <c r="A4" s="4" t="s">
        <v>53</v>
      </c>
      <c r="B4" s="6" t="s">
        <v>54</v>
      </c>
      <c r="C4" s="6"/>
      <c r="D4" s="6" t="s">
        <v>35</v>
      </c>
      <c r="E4" s="6" t="s">
        <v>38</v>
      </c>
      <c r="F4" s="6" t="s">
        <v>40</v>
      </c>
      <c r="G4" s="9"/>
    </row>
    <row r="5" spans="1:7" ht="14.25" customHeight="1">
      <c r="A5" s="4" t="s">
        <v>64</v>
      </c>
      <c r="B5" s="6" t="s">
        <v>66</v>
      </c>
      <c r="C5" s="6"/>
      <c r="D5" s="6" t="s">
        <v>35</v>
      </c>
      <c r="E5" s="6" t="s">
        <v>38</v>
      </c>
      <c r="F5" s="6" t="s">
        <v>40</v>
      </c>
      <c r="G5" s="9"/>
    </row>
    <row r="6" spans="1:7" ht="14.25" customHeight="1">
      <c r="A6" s="4" t="s">
        <v>73</v>
      </c>
      <c r="B6" s="6" t="s">
        <v>75</v>
      </c>
      <c r="C6" s="6"/>
      <c r="D6" s="6" t="s">
        <v>35</v>
      </c>
      <c r="E6" s="6" t="s">
        <v>38</v>
      </c>
      <c r="F6" s="6" t="s">
        <v>40</v>
      </c>
      <c r="G6" s="9"/>
    </row>
    <row r="7" spans="1:7" ht="14.25" customHeight="1">
      <c r="A7" s="4" t="s">
        <v>76</v>
      </c>
      <c r="B7" s="6" t="s">
        <v>78</v>
      </c>
      <c r="C7" s="6"/>
      <c r="D7" s="6" t="s">
        <v>35</v>
      </c>
      <c r="E7" s="6" t="s">
        <v>38</v>
      </c>
      <c r="F7" s="6" t="s">
        <v>40</v>
      </c>
      <c r="G7" s="9"/>
    </row>
    <row r="8" spans="1:7" ht="14.25" customHeight="1">
      <c r="A8" s="4" t="s">
        <v>81</v>
      </c>
      <c r="B8" s="6" t="s">
        <v>82</v>
      </c>
      <c r="C8" s="6"/>
      <c r="D8" s="6" t="s">
        <v>35</v>
      </c>
      <c r="E8" s="6" t="s">
        <v>38</v>
      </c>
      <c r="F8" s="6" t="s">
        <v>40</v>
      </c>
      <c r="G8" s="9"/>
    </row>
    <row r="9" spans="1:7" ht="14.25" customHeight="1">
      <c r="A9" s="4" t="s">
        <v>86</v>
      </c>
      <c r="B9" s="6" t="s">
        <v>87</v>
      </c>
      <c r="C9" s="6"/>
      <c r="D9" s="6" t="s">
        <v>35</v>
      </c>
      <c r="E9" s="6" t="s">
        <v>38</v>
      </c>
      <c r="F9" s="6" t="s">
        <v>40</v>
      </c>
      <c r="G9" s="9"/>
    </row>
    <row r="10" spans="1:7" ht="14.25" customHeight="1">
      <c r="A10" s="4" t="s">
        <v>94</v>
      </c>
      <c r="B10" s="6" t="s">
        <v>96</v>
      </c>
      <c r="C10" s="6"/>
      <c r="D10" s="6" t="s">
        <v>35</v>
      </c>
      <c r="E10" s="6" t="s">
        <v>38</v>
      </c>
      <c r="F10" s="6" t="s">
        <v>40</v>
      </c>
      <c r="G10" s="9"/>
    </row>
    <row r="11" spans="1:7" ht="14.25" customHeight="1">
      <c r="A11" s="4" t="s">
        <v>102</v>
      </c>
      <c r="B11" s="6" t="s">
        <v>104</v>
      </c>
      <c r="C11" s="6"/>
      <c r="D11" s="6" t="s">
        <v>35</v>
      </c>
      <c r="E11" s="6" t="s">
        <v>38</v>
      </c>
      <c r="F11" s="6" t="s">
        <v>40</v>
      </c>
      <c r="G11" s="9"/>
    </row>
    <row r="12" spans="1:7" ht="14.25" customHeight="1">
      <c r="A12" s="4" t="s">
        <v>106</v>
      </c>
      <c r="B12" s="6" t="s">
        <v>107</v>
      </c>
      <c r="C12" s="6"/>
      <c r="D12" s="6" t="s">
        <v>35</v>
      </c>
      <c r="E12" s="6" t="s">
        <v>38</v>
      </c>
      <c r="F12" s="6" t="s">
        <v>40</v>
      </c>
      <c r="G12" s="9"/>
    </row>
    <row r="13" spans="1:7" ht="14.25" customHeight="1">
      <c r="A13" s="4" t="s">
        <v>112</v>
      </c>
      <c r="B13" s="6" t="s">
        <v>113</v>
      </c>
      <c r="C13" s="6"/>
      <c r="D13" s="6" t="s">
        <v>35</v>
      </c>
      <c r="E13" s="6" t="s">
        <v>38</v>
      </c>
      <c r="F13" s="6" t="s">
        <v>40</v>
      </c>
      <c r="G13" s="9"/>
    </row>
    <row r="14" spans="1:7" ht="14.25" customHeight="1">
      <c r="A14" s="4" t="s">
        <v>117</v>
      </c>
      <c r="B14" s="6" t="s">
        <v>118</v>
      </c>
      <c r="C14" s="6"/>
      <c r="D14" s="6" t="s">
        <v>35</v>
      </c>
      <c r="E14" s="6" t="s">
        <v>38</v>
      </c>
      <c r="F14" s="6" t="s">
        <v>40</v>
      </c>
      <c r="G14" s="9"/>
    </row>
    <row r="15" spans="1:7" ht="14.25" customHeight="1">
      <c r="A15" s="4" t="s">
        <v>122</v>
      </c>
      <c r="B15" s="6" t="s">
        <v>123</v>
      </c>
      <c r="C15" s="6"/>
      <c r="D15" s="6" t="s">
        <v>35</v>
      </c>
      <c r="E15" s="6" t="s">
        <v>38</v>
      </c>
      <c r="F15" s="6" t="s">
        <v>40</v>
      </c>
      <c r="G15" s="9"/>
    </row>
    <row r="16" spans="1:7" ht="14.25" customHeight="1">
      <c r="A16" s="4" t="s">
        <v>124</v>
      </c>
      <c r="B16" s="6" t="s">
        <v>125</v>
      </c>
      <c r="C16" s="6"/>
      <c r="D16" s="6" t="s">
        <v>35</v>
      </c>
      <c r="E16" s="6" t="s">
        <v>38</v>
      </c>
      <c r="F16" s="6" t="s">
        <v>40</v>
      </c>
      <c r="G16" s="9"/>
    </row>
    <row r="17" spans="1:7" ht="14.25" customHeight="1">
      <c r="A17" s="4" t="s">
        <v>132</v>
      </c>
      <c r="B17" s="6" t="s">
        <v>133</v>
      </c>
      <c r="C17" s="6"/>
      <c r="D17" s="6" t="s">
        <v>35</v>
      </c>
      <c r="E17" s="6" t="s">
        <v>38</v>
      </c>
      <c r="F17" s="6" t="s">
        <v>40</v>
      </c>
      <c r="G17" s="9"/>
    </row>
    <row r="18" spans="1:7" ht="14.25" customHeight="1">
      <c r="A18" s="4" t="s">
        <v>135</v>
      </c>
      <c r="B18" s="6" t="s">
        <v>136</v>
      </c>
      <c r="C18" s="6"/>
      <c r="D18" s="6" t="s">
        <v>35</v>
      </c>
      <c r="E18" s="6" t="s">
        <v>38</v>
      </c>
      <c r="F18" s="6" t="s">
        <v>40</v>
      </c>
      <c r="G18" s="9"/>
    </row>
    <row r="19" spans="1:7" ht="14.25" customHeight="1">
      <c r="A19" s="4" t="s">
        <v>139</v>
      </c>
      <c r="B19" s="6" t="s">
        <v>141</v>
      </c>
      <c r="C19" s="6"/>
      <c r="D19" s="6" t="s">
        <v>35</v>
      </c>
      <c r="E19" s="6" t="s">
        <v>38</v>
      </c>
      <c r="F19" s="6" t="s">
        <v>40</v>
      </c>
      <c r="G19" s="9"/>
    </row>
    <row r="20" spans="1:7" ht="14.25" customHeight="1">
      <c r="A20" s="4" t="s">
        <v>145</v>
      </c>
      <c r="B20" s="6" t="s">
        <v>146</v>
      </c>
      <c r="C20" s="6"/>
      <c r="D20" s="6" t="s">
        <v>35</v>
      </c>
      <c r="E20" s="6" t="s">
        <v>38</v>
      </c>
      <c r="F20" s="6" t="s">
        <v>40</v>
      </c>
      <c r="G20" s="9"/>
    </row>
    <row r="21" spans="1:7" ht="14.25" customHeight="1">
      <c r="A21" s="4" t="s">
        <v>154</v>
      </c>
      <c r="B21" s="6" t="s">
        <v>155</v>
      </c>
      <c r="C21" s="6"/>
      <c r="D21" s="6" t="s">
        <v>35</v>
      </c>
      <c r="E21" s="6" t="s">
        <v>38</v>
      </c>
      <c r="F21" s="6" t="s">
        <v>40</v>
      </c>
      <c r="G21" s="9"/>
    </row>
    <row r="22" spans="1:7" ht="14.25" customHeight="1">
      <c r="A22" s="4" t="s">
        <v>160</v>
      </c>
      <c r="B22" s="6" t="s">
        <v>161</v>
      </c>
      <c r="C22" s="6"/>
      <c r="D22" s="6" t="s">
        <v>35</v>
      </c>
      <c r="E22" s="6" t="s">
        <v>38</v>
      </c>
      <c r="F22" s="6" t="s">
        <v>40</v>
      </c>
      <c r="G22" s="9"/>
    </row>
    <row r="23" spans="1:7" ht="14.25" customHeight="1">
      <c r="A23" s="4" t="s">
        <v>164</v>
      </c>
      <c r="B23" s="6" t="s">
        <v>165</v>
      </c>
      <c r="C23" s="6"/>
      <c r="D23" s="6" t="s">
        <v>35</v>
      </c>
      <c r="E23" s="6" t="s">
        <v>38</v>
      </c>
      <c r="F23" s="6" t="s">
        <v>40</v>
      </c>
      <c r="G23" s="9"/>
    </row>
    <row r="24" spans="1:7" ht="14.25" customHeight="1">
      <c r="A24" s="4" t="s">
        <v>170</v>
      </c>
      <c r="B24" s="6" t="s">
        <v>172</v>
      </c>
      <c r="C24" s="6"/>
      <c r="D24" s="6" t="s">
        <v>35</v>
      </c>
      <c r="E24" s="6" t="s">
        <v>38</v>
      </c>
      <c r="F24" s="6" t="s">
        <v>40</v>
      </c>
      <c r="G24" s="9"/>
    </row>
    <row r="25" spans="1:7" ht="14.25" customHeight="1">
      <c r="A25" s="4" t="s">
        <v>178</v>
      </c>
      <c r="B25" s="6" t="s">
        <v>180</v>
      </c>
      <c r="C25" s="6"/>
      <c r="D25" s="6" t="s">
        <v>35</v>
      </c>
      <c r="E25" s="6" t="s">
        <v>38</v>
      </c>
      <c r="F25" s="6" t="s">
        <v>40</v>
      </c>
      <c r="G25" s="9"/>
    </row>
    <row r="26" spans="1:7" ht="14.25" customHeight="1">
      <c r="A26" s="4" t="s">
        <v>183</v>
      </c>
      <c r="B26" s="6" t="s">
        <v>184</v>
      </c>
      <c r="C26" s="6"/>
      <c r="D26" s="6" t="s">
        <v>35</v>
      </c>
      <c r="E26" s="6" t="s">
        <v>38</v>
      </c>
      <c r="F26" s="6" t="s">
        <v>40</v>
      </c>
      <c r="G26" s="9"/>
    </row>
    <row r="27" spans="1:7" ht="14.25" customHeight="1">
      <c r="A27" s="4" t="s">
        <v>192</v>
      </c>
      <c r="B27" s="6" t="s">
        <v>194</v>
      </c>
      <c r="C27" s="6"/>
      <c r="D27" s="6" t="s">
        <v>35</v>
      </c>
      <c r="E27" s="6" t="s">
        <v>38</v>
      </c>
      <c r="F27" s="6" t="s">
        <v>40</v>
      </c>
      <c r="G27" s="9"/>
    </row>
    <row r="28" spans="1:7" ht="14.25" customHeight="1">
      <c r="A28" s="4" t="s">
        <v>202</v>
      </c>
      <c r="B28" s="6" t="s">
        <v>204</v>
      </c>
      <c r="C28" s="6"/>
      <c r="D28" s="6" t="s">
        <v>35</v>
      </c>
      <c r="E28" s="6" t="s">
        <v>38</v>
      </c>
      <c r="F28" s="6" t="s">
        <v>40</v>
      </c>
      <c r="G28" s="9"/>
    </row>
    <row r="29" spans="1:7" ht="14.25" customHeight="1">
      <c r="A29" s="4" t="s">
        <v>208</v>
      </c>
      <c r="B29" s="6" t="s">
        <v>210</v>
      </c>
      <c r="C29" s="6"/>
      <c r="D29" s="6" t="s">
        <v>35</v>
      </c>
      <c r="E29" s="6" t="s">
        <v>38</v>
      </c>
      <c r="F29" s="6" t="s">
        <v>40</v>
      </c>
      <c r="G29" s="9"/>
    </row>
    <row r="30" spans="1:7" ht="14.25" customHeight="1">
      <c r="A30" s="4" t="s">
        <v>218</v>
      </c>
      <c r="B30" s="6" t="s">
        <v>219</v>
      </c>
      <c r="C30" s="6"/>
      <c r="D30" s="6" t="s">
        <v>35</v>
      </c>
      <c r="E30" s="6" t="s">
        <v>38</v>
      </c>
      <c r="F30" s="6" t="s">
        <v>40</v>
      </c>
      <c r="G30" s="9"/>
    </row>
    <row r="31" spans="1:7" ht="14.25" customHeight="1">
      <c r="A31" s="4" t="s">
        <v>222</v>
      </c>
      <c r="B31" s="6" t="s">
        <v>223</v>
      </c>
      <c r="C31" s="6"/>
      <c r="D31" s="6" t="s">
        <v>35</v>
      </c>
      <c r="E31" s="6" t="s">
        <v>38</v>
      </c>
      <c r="F31" s="6" t="s">
        <v>40</v>
      </c>
      <c r="G31" s="9"/>
    </row>
    <row r="32" spans="1:7" ht="14.25" customHeight="1">
      <c r="A32" s="4" t="s">
        <v>230</v>
      </c>
      <c r="B32" s="6" t="s">
        <v>231</v>
      </c>
      <c r="C32" s="6"/>
      <c r="D32" s="6" t="s">
        <v>35</v>
      </c>
      <c r="E32" s="6" t="s">
        <v>38</v>
      </c>
      <c r="F32" s="6" t="s">
        <v>40</v>
      </c>
      <c r="G32" s="9"/>
    </row>
    <row r="33" spans="1:7" ht="14.25" customHeight="1">
      <c r="A33" s="4" t="s">
        <v>236</v>
      </c>
      <c r="B33" s="6" t="s">
        <v>237</v>
      </c>
      <c r="C33" s="6"/>
      <c r="D33" s="6" t="s">
        <v>238</v>
      </c>
      <c r="E33" s="6" t="s">
        <v>38</v>
      </c>
      <c r="F33" s="6" t="s">
        <v>40</v>
      </c>
      <c r="G33" s="9"/>
    </row>
    <row r="34" spans="1:7" ht="14.25" customHeight="1">
      <c r="A34" s="4" t="s">
        <v>242</v>
      </c>
      <c r="B34" s="6" t="s">
        <v>244</v>
      </c>
      <c r="C34" s="6"/>
      <c r="D34" s="6" t="s">
        <v>35</v>
      </c>
      <c r="E34" s="6" t="s">
        <v>38</v>
      </c>
      <c r="F34" s="6" t="s">
        <v>40</v>
      </c>
      <c r="G34" s="9"/>
    </row>
    <row r="35" spans="1:7" ht="14.25" customHeight="1">
      <c r="A35" s="4" t="s">
        <v>250</v>
      </c>
      <c r="B35" s="6" t="s">
        <v>251</v>
      </c>
      <c r="C35" s="6"/>
      <c r="D35" s="6" t="s">
        <v>35</v>
      </c>
      <c r="E35" s="6" t="s">
        <v>38</v>
      </c>
      <c r="F35" s="6" t="s">
        <v>40</v>
      </c>
      <c r="G35" s="9"/>
    </row>
    <row r="36" spans="1:7" ht="14.25" customHeight="1">
      <c r="A36" s="4" t="s">
        <v>259</v>
      </c>
      <c r="B36" s="6" t="s">
        <v>261</v>
      </c>
      <c r="C36" s="6"/>
      <c r="D36" s="28" t="s">
        <v>265</v>
      </c>
      <c r="E36" s="6" t="s">
        <v>38</v>
      </c>
      <c r="F36" s="6" t="s">
        <v>40</v>
      </c>
      <c r="G36" s="9" t="s">
        <v>268</v>
      </c>
    </row>
    <row r="37" spans="1:7" ht="14.25" customHeight="1">
      <c r="A37" s="4" t="s">
        <v>270</v>
      </c>
      <c r="B37" s="6" t="s">
        <v>271</v>
      </c>
      <c r="C37" s="6"/>
      <c r="D37" s="6" t="s">
        <v>35</v>
      </c>
      <c r="E37" s="6" t="s">
        <v>38</v>
      </c>
      <c r="F37" s="6" t="s">
        <v>40</v>
      </c>
      <c r="G37" s="9"/>
    </row>
    <row r="38" spans="1:7" ht="14.25" customHeight="1">
      <c r="A38" s="4" t="s">
        <v>277</v>
      </c>
      <c r="B38" s="6" t="s">
        <v>280</v>
      </c>
      <c r="C38" s="6"/>
      <c r="D38" s="6" t="s">
        <v>35</v>
      </c>
      <c r="E38" s="6" t="s">
        <v>38</v>
      </c>
      <c r="F38" s="6" t="s">
        <v>40</v>
      </c>
      <c r="G38" s="9"/>
    </row>
    <row r="39" spans="1:7" ht="14.25" customHeight="1">
      <c r="A39" s="4" t="s">
        <v>285</v>
      </c>
      <c r="B39" s="6" t="s">
        <v>287</v>
      </c>
      <c r="C39" s="6"/>
      <c r="D39" s="6" t="s">
        <v>35</v>
      </c>
      <c r="E39" s="6" t="s">
        <v>38</v>
      </c>
      <c r="F39" s="6" t="s">
        <v>40</v>
      </c>
      <c r="G39" s="9"/>
    </row>
    <row r="40" spans="1:7" ht="14.25" customHeight="1">
      <c r="A40" s="4" t="s">
        <v>290</v>
      </c>
      <c r="B40" s="6" t="s">
        <v>291</v>
      </c>
      <c r="C40" s="6"/>
      <c r="D40" s="6" t="s">
        <v>35</v>
      </c>
      <c r="E40" s="6" t="s">
        <v>38</v>
      </c>
      <c r="F40" s="6" t="s">
        <v>40</v>
      </c>
      <c r="G40" s="9"/>
    </row>
    <row r="41" spans="1:7" ht="14.25" customHeight="1">
      <c r="A41" s="4" t="s">
        <v>298</v>
      </c>
      <c r="B41" s="6" t="s">
        <v>299</v>
      </c>
      <c r="C41" s="6"/>
      <c r="D41" s="6" t="s">
        <v>35</v>
      </c>
      <c r="E41" s="6" t="s">
        <v>38</v>
      </c>
      <c r="F41" s="6" t="s">
        <v>40</v>
      </c>
      <c r="G41" s="9"/>
    </row>
    <row r="42" spans="1:7" ht="14.25" customHeight="1">
      <c r="A42" s="4" t="s">
        <v>303</v>
      </c>
      <c r="B42" s="6" t="s">
        <v>305</v>
      </c>
      <c r="C42" s="6"/>
      <c r="D42" s="6" t="s">
        <v>35</v>
      </c>
      <c r="E42" s="6" t="s">
        <v>38</v>
      </c>
      <c r="F42" s="6" t="s">
        <v>40</v>
      </c>
      <c r="G42" s="9"/>
    </row>
    <row r="43" spans="1:7" ht="14.25" customHeight="1">
      <c r="A43" s="4" t="s">
        <v>307</v>
      </c>
      <c r="B43" s="6" t="s">
        <v>308</v>
      </c>
      <c r="C43" s="6"/>
      <c r="D43" s="6" t="s">
        <v>35</v>
      </c>
      <c r="E43" s="6" t="s">
        <v>38</v>
      </c>
      <c r="F43" s="6" t="s">
        <v>40</v>
      </c>
      <c r="G43" s="9"/>
    </row>
    <row r="44" spans="1:7" ht="14.25" customHeight="1">
      <c r="A44" s="4" t="s">
        <v>317</v>
      </c>
      <c r="B44" s="6" t="s">
        <v>318</v>
      </c>
      <c r="C44" s="6"/>
      <c r="D44" s="6" t="s">
        <v>35</v>
      </c>
      <c r="E44" s="6" t="s">
        <v>38</v>
      </c>
      <c r="F44" s="6" t="s">
        <v>40</v>
      </c>
      <c r="G44" s="9"/>
    </row>
    <row r="45" spans="1:7" ht="14.25" customHeight="1">
      <c r="A45" s="4" t="s">
        <v>322</v>
      </c>
      <c r="B45" s="6" t="s">
        <v>325</v>
      </c>
      <c r="C45" s="6"/>
      <c r="D45" s="6" t="s">
        <v>35</v>
      </c>
      <c r="E45" s="6" t="s">
        <v>38</v>
      </c>
      <c r="F45" s="6" t="s">
        <v>40</v>
      </c>
      <c r="G45" s="9"/>
    </row>
    <row r="46" spans="1:7" ht="14.25" customHeight="1">
      <c r="A46" s="4" t="s">
        <v>331</v>
      </c>
      <c r="B46" s="6" t="s">
        <v>333</v>
      </c>
      <c r="C46" s="6"/>
      <c r="D46" s="6" t="s">
        <v>35</v>
      </c>
      <c r="E46" s="6" t="s">
        <v>38</v>
      </c>
      <c r="F46" s="6" t="s">
        <v>40</v>
      </c>
      <c r="G46" s="9"/>
    </row>
    <row r="47" spans="1:7" ht="14.25" customHeight="1">
      <c r="A47" s="4" t="s">
        <v>338</v>
      </c>
      <c r="B47" s="6" t="s">
        <v>340</v>
      </c>
      <c r="C47" s="6"/>
      <c r="D47" s="6" t="s">
        <v>35</v>
      </c>
      <c r="E47" s="6" t="s">
        <v>342</v>
      </c>
      <c r="F47" s="6" t="s">
        <v>40</v>
      </c>
      <c r="G47" s="9"/>
    </row>
    <row r="48" spans="1:7" ht="14.25" customHeight="1">
      <c r="A48" s="4" t="s">
        <v>345</v>
      </c>
      <c r="B48" s="6" t="s">
        <v>346</v>
      </c>
      <c r="C48" s="6"/>
      <c r="D48" s="6" t="s">
        <v>35</v>
      </c>
      <c r="E48" s="6" t="s">
        <v>38</v>
      </c>
      <c r="F48" s="6" t="s">
        <v>40</v>
      </c>
      <c r="G48" s="9"/>
    </row>
    <row r="49" spans="1:7" ht="14.25" customHeight="1">
      <c r="A49" s="4" t="s">
        <v>354</v>
      </c>
      <c r="B49" s="6" t="s">
        <v>356</v>
      </c>
      <c r="C49" s="6"/>
      <c r="D49" s="6" t="s">
        <v>35</v>
      </c>
      <c r="E49" s="6" t="s">
        <v>38</v>
      </c>
      <c r="F49" s="6" t="s">
        <v>40</v>
      </c>
      <c r="G49" s="9"/>
    </row>
    <row r="50" spans="1:7" ht="14.25" customHeight="1">
      <c r="A50" s="4" t="s">
        <v>360</v>
      </c>
      <c r="B50" s="6" t="s">
        <v>361</v>
      </c>
      <c r="C50" s="6"/>
      <c r="D50" s="6" t="s">
        <v>35</v>
      </c>
      <c r="E50" s="6" t="s">
        <v>38</v>
      </c>
      <c r="F50" s="6" t="s">
        <v>40</v>
      </c>
      <c r="G50" s="9"/>
    </row>
    <row r="51" spans="1:7" ht="14.25" customHeight="1">
      <c r="A51" s="4" t="s">
        <v>367</v>
      </c>
      <c r="B51" s="6" t="s">
        <v>369</v>
      </c>
      <c r="C51" s="6"/>
      <c r="D51" s="6" t="s">
        <v>35</v>
      </c>
      <c r="E51" s="6" t="s">
        <v>342</v>
      </c>
      <c r="F51" s="6" t="s">
        <v>40</v>
      </c>
      <c r="G51" s="9"/>
    </row>
    <row r="52" spans="1:7" ht="14.25" customHeight="1">
      <c r="A52" s="4" t="s">
        <v>373</v>
      </c>
      <c r="B52" s="6" t="s">
        <v>374</v>
      </c>
      <c r="C52" s="6"/>
      <c r="D52" s="6" t="s">
        <v>35</v>
      </c>
      <c r="E52" s="6" t="s">
        <v>38</v>
      </c>
      <c r="F52" s="6" t="s">
        <v>40</v>
      </c>
      <c r="G52" s="9"/>
    </row>
    <row r="53" spans="1:7" ht="14.25" customHeight="1">
      <c r="A53" s="4" t="s">
        <v>377</v>
      </c>
      <c r="B53" s="6" t="s">
        <v>379</v>
      </c>
      <c r="C53" s="6"/>
      <c r="D53" s="6" t="s">
        <v>35</v>
      </c>
      <c r="E53" s="6" t="s">
        <v>342</v>
      </c>
      <c r="F53" s="6" t="s">
        <v>40</v>
      </c>
      <c r="G53" s="9"/>
    </row>
    <row r="54" spans="1:7" ht="14.25" customHeight="1">
      <c r="A54" s="4" t="s">
        <v>382</v>
      </c>
      <c r="B54" s="6" t="s">
        <v>383</v>
      </c>
      <c r="C54" s="6"/>
      <c r="D54" s="6" t="s">
        <v>35</v>
      </c>
      <c r="E54" s="6" t="s">
        <v>342</v>
      </c>
      <c r="F54" s="6" t="s">
        <v>40</v>
      </c>
      <c r="G54" s="9"/>
    </row>
    <row r="55" spans="1:7" ht="14.25" customHeight="1">
      <c r="A55" s="4" t="s">
        <v>393</v>
      </c>
      <c r="B55" s="6" t="s">
        <v>394</v>
      </c>
      <c r="C55" s="6"/>
      <c r="D55" s="6" t="s">
        <v>35</v>
      </c>
      <c r="E55" s="6" t="s">
        <v>38</v>
      </c>
      <c r="F55" s="6" t="s">
        <v>40</v>
      </c>
      <c r="G55" s="9"/>
    </row>
    <row r="56" spans="1:7" ht="14.25" customHeight="1">
      <c r="A56" s="4" t="s">
        <v>399</v>
      </c>
      <c r="B56" s="6" t="s">
        <v>400</v>
      </c>
      <c r="C56" s="6"/>
      <c r="D56" s="6" t="s">
        <v>35</v>
      </c>
      <c r="E56" s="6" t="s">
        <v>38</v>
      </c>
      <c r="F56" s="6" t="s">
        <v>50</v>
      </c>
      <c r="G56" s="9"/>
    </row>
    <row r="57" spans="1:7" ht="14.25" customHeight="1">
      <c r="A57" s="4" t="s">
        <v>404</v>
      </c>
      <c r="B57" s="6" t="s">
        <v>408</v>
      </c>
      <c r="C57" s="6"/>
      <c r="D57" s="6" t="s">
        <v>35</v>
      </c>
      <c r="E57" s="6" t="s">
        <v>342</v>
      </c>
      <c r="F57" s="6" t="s">
        <v>40</v>
      </c>
      <c r="G57" s="9"/>
    </row>
    <row r="58" spans="1:7" ht="14.25" customHeight="1">
      <c r="A58" s="4" t="s">
        <v>362</v>
      </c>
      <c r="B58" s="6" t="s">
        <v>379</v>
      </c>
      <c r="C58" s="6"/>
      <c r="D58" s="6" t="s">
        <v>35</v>
      </c>
      <c r="E58" s="6" t="s">
        <v>342</v>
      </c>
      <c r="F58" s="6" t="s">
        <v>40</v>
      </c>
      <c r="G58" s="9"/>
    </row>
    <row r="59" spans="1:7" ht="14.25" customHeight="1">
      <c r="A59" s="4"/>
      <c r="B59" s="6"/>
      <c r="C59" s="6"/>
      <c r="D59" s="6"/>
      <c r="E59" s="6"/>
      <c r="F59" s="6"/>
      <c r="G59" s="9"/>
    </row>
    <row r="60" spans="1:7" ht="14.25" customHeight="1">
      <c r="A60" s="4"/>
      <c r="B60" s="6"/>
      <c r="C60" s="6"/>
      <c r="D60" s="6"/>
      <c r="E60" s="6"/>
      <c r="F60" s="6"/>
      <c r="G60" s="9"/>
    </row>
    <row r="61" spans="1:7" ht="14.25" customHeight="1">
      <c r="A61" s="4"/>
      <c r="B61" s="6"/>
      <c r="C61" s="6"/>
      <c r="D61" s="6"/>
      <c r="E61" s="6"/>
      <c r="F61" s="6"/>
      <c r="G61" s="9"/>
    </row>
    <row r="62" spans="1:7" ht="14.25" customHeight="1">
      <c r="A62" s="4"/>
      <c r="B62" s="6"/>
      <c r="C62" s="6"/>
      <c r="D62" s="6"/>
      <c r="E62" s="6"/>
      <c r="F62" s="6"/>
      <c r="G62" s="9"/>
    </row>
    <row r="63" spans="1:7" ht="14.25" customHeight="1">
      <c r="A63" s="4"/>
      <c r="B63" s="6"/>
      <c r="C63" s="6"/>
      <c r="D63" s="6"/>
      <c r="E63" s="6"/>
      <c r="F63" s="6"/>
      <c r="G63" s="9"/>
    </row>
    <row r="64" spans="1:7" ht="14.25" customHeight="1">
      <c r="A64" s="4"/>
      <c r="B64" s="6"/>
      <c r="C64" s="6"/>
      <c r="D64" s="6"/>
      <c r="E64" s="6"/>
      <c r="F64" s="6"/>
      <c r="G64" s="9"/>
    </row>
    <row r="65" spans="1:7" ht="14.25" customHeight="1">
      <c r="A65" s="4"/>
      <c r="B65" s="6"/>
      <c r="C65" s="6"/>
      <c r="D65" s="6"/>
      <c r="E65" s="6"/>
      <c r="F65" s="6"/>
      <c r="G65" s="9"/>
    </row>
    <row r="66" spans="1:7" ht="14.25" customHeight="1">
      <c r="A66" s="4"/>
      <c r="B66" s="6"/>
      <c r="C66" s="6"/>
      <c r="D66" s="6"/>
      <c r="E66" s="6"/>
      <c r="F66" s="6"/>
      <c r="G66" s="9"/>
    </row>
    <row r="67" spans="1:7" ht="14.25" customHeight="1">
      <c r="A67" s="4"/>
      <c r="B67" s="6"/>
      <c r="C67" s="6"/>
      <c r="D67" s="6"/>
      <c r="E67" s="6"/>
      <c r="F67" s="6"/>
      <c r="G67" s="9"/>
    </row>
    <row r="68" spans="1:7" ht="14.25" customHeight="1">
      <c r="A68" s="4"/>
      <c r="B68" s="6"/>
      <c r="C68" s="6"/>
      <c r="D68" s="6"/>
      <c r="E68" s="6"/>
      <c r="F68" s="6"/>
      <c r="G68" s="9"/>
    </row>
    <row r="69" spans="1:7" ht="14.25" customHeight="1">
      <c r="A69" s="4"/>
      <c r="B69" s="6"/>
      <c r="C69" s="6"/>
      <c r="D69" s="6"/>
      <c r="E69" s="6"/>
      <c r="F69" s="6"/>
      <c r="G69" s="9"/>
    </row>
    <row r="70" spans="1:7" ht="14.25" customHeight="1">
      <c r="A70" s="4"/>
      <c r="B70" s="6"/>
      <c r="C70" s="6"/>
      <c r="D70" s="6"/>
      <c r="E70" s="6"/>
      <c r="F70" s="6"/>
      <c r="G70" s="9"/>
    </row>
    <row r="71" spans="1:7" ht="14.25" customHeight="1">
      <c r="A71" s="4"/>
      <c r="B71" s="6"/>
      <c r="C71" s="6"/>
      <c r="D71" s="6"/>
      <c r="E71" s="6"/>
      <c r="F71" s="6"/>
      <c r="G71" s="9"/>
    </row>
    <row r="72" spans="1:7" ht="14.25" customHeight="1">
      <c r="A72" s="4"/>
      <c r="B72" s="6"/>
      <c r="C72" s="6"/>
      <c r="D72" s="6"/>
      <c r="E72" s="6"/>
      <c r="F72" s="6"/>
      <c r="G72" s="9"/>
    </row>
    <row r="73" spans="1:7" ht="14.25" customHeight="1">
      <c r="A73" s="4"/>
      <c r="B73" s="6"/>
      <c r="C73" s="6"/>
      <c r="D73" s="6"/>
      <c r="E73" s="6"/>
      <c r="F73" s="6"/>
      <c r="G73" s="9"/>
    </row>
    <row r="74" spans="1:7" ht="14.25" customHeight="1">
      <c r="A74" s="4"/>
      <c r="B74" s="6"/>
      <c r="C74" s="6"/>
      <c r="D74" s="6"/>
      <c r="E74" s="6"/>
      <c r="F74" s="6"/>
      <c r="G74" s="9"/>
    </row>
    <row r="75" spans="1:7" ht="14.25" customHeight="1">
      <c r="A75" s="4"/>
      <c r="B75" s="6"/>
      <c r="C75" s="6"/>
      <c r="D75" s="6"/>
      <c r="E75" s="6"/>
      <c r="F75" s="6"/>
      <c r="G75" s="9"/>
    </row>
    <row r="76" spans="1:7" ht="14.25" customHeight="1">
      <c r="A76" s="4"/>
      <c r="B76" s="6"/>
      <c r="C76" s="6"/>
      <c r="D76" s="6"/>
      <c r="E76" s="6"/>
      <c r="F76" s="6"/>
      <c r="G76" s="9"/>
    </row>
    <row r="77" spans="1:7" ht="14.25" customHeight="1">
      <c r="A77" s="4"/>
      <c r="B77" s="6"/>
      <c r="C77" s="6"/>
      <c r="D77" s="6"/>
      <c r="E77" s="6"/>
      <c r="F77" s="6"/>
      <c r="G77" s="9"/>
    </row>
    <row r="78" spans="1:7" ht="14.25" customHeight="1">
      <c r="A78" s="4"/>
      <c r="B78" s="6"/>
      <c r="C78" s="6"/>
      <c r="D78" s="6"/>
      <c r="E78" s="6"/>
      <c r="F78" s="6"/>
      <c r="G78" s="9"/>
    </row>
    <row r="79" spans="1:7" ht="14.25" customHeight="1">
      <c r="A79" s="4"/>
      <c r="B79" s="6"/>
      <c r="C79" s="6"/>
      <c r="D79" s="6"/>
      <c r="E79" s="6"/>
      <c r="F79" s="6"/>
      <c r="G79" s="9"/>
    </row>
    <row r="80" spans="1:7" ht="14.25" customHeight="1">
      <c r="A80" s="4"/>
      <c r="B80" s="6"/>
      <c r="C80" s="6"/>
      <c r="D80" s="6"/>
      <c r="E80" s="6"/>
      <c r="F80" s="6"/>
      <c r="G80" s="9"/>
    </row>
    <row r="81" spans="1:7" ht="14.25" customHeight="1">
      <c r="A81" s="4"/>
      <c r="B81" s="6"/>
      <c r="C81" s="6"/>
      <c r="D81" s="6"/>
      <c r="E81" s="6"/>
      <c r="F81" s="6"/>
      <c r="G81" s="9"/>
    </row>
    <row r="82" spans="1:7" ht="14.25" customHeight="1">
      <c r="A82" s="4"/>
      <c r="B82" s="6"/>
      <c r="C82" s="6"/>
      <c r="D82" s="6"/>
      <c r="E82" s="6"/>
      <c r="F82" s="6"/>
      <c r="G82" s="9"/>
    </row>
    <row r="83" spans="1:7" ht="14.25" customHeight="1">
      <c r="A83" s="4"/>
      <c r="B83" s="6"/>
      <c r="C83" s="6"/>
      <c r="D83" s="6"/>
      <c r="E83" s="6"/>
      <c r="F83" s="6"/>
      <c r="G83" s="9"/>
    </row>
    <row r="84" spans="1:7" ht="14.25" customHeight="1">
      <c r="A84" s="4"/>
      <c r="B84" s="6"/>
      <c r="C84" s="6"/>
      <c r="D84" s="6"/>
      <c r="E84" s="6"/>
      <c r="F84" s="6"/>
      <c r="G84" s="9"/>
    </row>
    <row r="85" spans="1:7" ht="14.25" customHeight="1">
      <c r="A85" s="4"/>
      <c r="B85" s="6"/>
      <c r="C85" s="6"/>
      <c r="D85" s="6"/>
      <c r="E85" s="6"/>
      <c r="F85" s="6"/>
      <c r="G85" s="9"/>
    </row>
    <row r="86" spans="1:7" ht="14.25" customHeight="1">
      <c r="A86" s="4"/>
      <c r="B86" s="6"/>
      <c r="C86" s="6"/>
      <c r="D86" s="6"/>
      <c r="E86" s="6"/>
      <c r="F86" s="6"/>
      <c r="G86" s="9"/>
    </row>
    <row r="87" spans="1:7" ht="14.25" customHeight="1">
      <c r="A87" s="4"/>
      <c r="B87" s="6"/>
      <c r="C87" s="6"/>
      <c r="D87" s="6"/>
      <c r="E87" s="6"/>
      <c r="F87" s="6"/>
      <c r="G87" s="9"/>
    </row>
    <row r="88" spans="1:7" ht="14.25" customHeight="1">
      <c r="A88" s="4"/>
      <c r="B88" s="6"/>
      <c r="C88" s="6"/>
      <c r="D88" s="6"/>
      <c r="E88" s="6"/>
      <c r="F88" s="6"/>
      <c r="G88" s="9"/>
    </row>
    <row r="89" spans="1:7" ht="14.25" customHeight="1">
      <c r="A89" s="4"/>
      <c r="B89" s="6"/>
      <c r="C89" s="6"/>
      <c r="D89" s="6"/>
      <c r="E89" s="6"/>
      <c r="F89" s="6"/>
      <c r="G89" s="9"/>
    </row>
    <row r="90" spans="1:7" ht="14.25" customHeight="1">
      <c r="A90" s="4"/>
      <c r="B90" s="6"/>
      <c r="C90" s="6"/>
      <c r="D90" s="6"/>
      <c r="E90" s="6"/>
      <c r="F90" s="6"/>
      <c r="G90" s="9"/>
    </row>
    <row r="91" spans="1:7" ht="14.25" customHeight="1">
      <c r="A91" s="4"/>
      <c r="B91" s="6"/>
      <c r="C91" s="6"/>
      <c r="D91" s="6"/>
      <c r="E91" s="6"/>
      <c r="F91" s="6"/>
      <c r="G91" s="9"/>
    </row>
    <row r="92" spans="1:7" ht="14.25" customHeight="1">
      <c r="A92" s="4"/>
      <c r="B92" s="6"/>
      <c r="C92" s="6"/>
      <c r="D92" s="6"/>
      <c r="E92" s="6"/>
      <c r="F92" s="6"/>
      <c r="G92" s="9"/>
    </row>
    <row r="93" spans="1:7" ht="14.25" customHeight="1">
      <c r="A93" s="4"/>
      <c r="B93" s="6"/>
      <c r="C93" s="6"/>
      <c r="D93" s="6"/>
      <c r="E93" s="6"/>
      <c r="F93" s="6"/>
      <c r="G93" s="9"/>
    </row>
    <row r="94" spans="1:7" ht="14.25" customHeight="1">
      <c r="A94" s="4"/>
      <c r="B94" s="6"/>
      <c r="C94" s="6"/>
      <c r="D94" s="6"/>
      <c r="E94" s="6"/>
      <c r="F94" s="6"/>
      <c r="G94" s="9"/>
    </row>
    <row r="95" spans="1:7" ht="14.25" customHeight="1">
      <c r="A95" s="4"/>
      <c r="B95" s="6"/>
      <c r="C95" s="6"/>
      <c r="D95" s="6"/>
      <c r="E95" s="6"/>
      <c r="F95" s="6"/>
      <c r="G95" s="9"/>
    </row>
    <row r="96" spans="1:7" ht="14.25" customHeight="1">
      <c r="A96" s="4"/>
      <c r="B96" s="6"/>
      <c r="C96" s="6"/>
      <c r="D96" s="6"/>
      <c r="E96" s="6"/>
      <c r="F96" s="6"/>
      <c r="G96" s="9"/>
    </row>
    <row r="97" spans="1:7" ht="14.25" customHeight="1">
      <c r="A97" s="4"/>
      <c r="B97" s="6"/>
      <c r="C97" s="6"/>
      <c r="D97" s="6"/>
      <c r="E97" s="6"/>
      <c r="F97" s="6"/>
      <c r="G97" s="9"/>
    </row>
    <row r="98" spans="1:7" ht="14.25" customHeight="1">
      <c r="A98" s="4"/>
      <c r="B98" s="6"/>
      <c r="C98" s="6"/>
      <c r="D98" s="6"/>
      <c r="E98" s="6"/>
      <c r="F98" s="6"/>
      <c r="G98" s="9"/>
    </row>
    <row r="99" spans="1:7" ht="14.25" customHeight="1">
      <c r="A99" s="4"/>
      <c r="B99" s="6"/>
      <c r="C99" s="6"/>
      <c r="D99" s="6"/>
      <c r="E99" s="6"/>
      <c r="F99" s="6"/>
      <c r="G99" s="9"/>
    </row>
    <row r="100" spans="1:7" ht="14.25" customHeight="1">
      <c r="A100" s="4"/>
      <c r="B100" s="6"/>
      <c r="C100" s="6"/>
      <c r="D100" s="6"/>
      <c r="E100" s="6"/>
      <c r="F100" s="6"/>
      <c r="G100" s="9"/>
    </row>
    <row r="101" spans="1:7" ht="14.25" customHeight="1">
      <c r="A101" s="4"/>
      <c r="B101" s="6"/>
      <c r="C101" s="6"/>
      <c r="D101" s="6"/>
      <c r="E101" s="6"/>
      <c r="F101" s="6"/>
      <c r="G101" s="9"/>
    </row>
    <row r="102" spans="1:7" ht="14.25" customHeight="1">
      <c r="A102" s="4"/>
      <c r="B102" s="6"/>
      <c r="C102" s="6"/>
      <c r="D102" s="6"/>
      <c r="E102" s="6"/>
      <c r="F102" s="6"/>
      <c r="G102" s="9"/>
    </row>
    <row r="103" spans="1:7" ht="14.25" customHeight="1">
      <c r="A103" s="4"/>
      <c r="B103" s="6"/>
      <c r="C103" s="6"/>
      <c r="D103" s="6"/>
      <c r="E103" s="6"/>
      <c r="F103" s="6"/>
      <c r="G103" s="9"/>
    </row>
    <row r="104" spans="1:7" ht="14.25" customHeight="1">
      <c r="A104" s="4"/>
      <c r="B104" s="6"/>
      <c r="C104" s="6"/>
      <c r="D104" s="6"/>
      <c r="E104" s="6"/>
      <c r="F104" s="6"/>
      <c r="G104" s="9"/>
    </row>
    <row r="105" spans="1:7" ht="14.25" customHeight="1">
      <c r="A105" s="4"/>
      <c r="B105" s="6"/>
      <c r="C105" s="6"/>
      <c r="D105" s="6"/>
      <c r="E105" s="6"/>
      <c r="F105" s="6"/>
      <c r="G105" s="9"/>
    </row>
    <row r="106" spans="1:7" ht="14.25" customHeight="1">
      <c r="A106" s="4"/>
      <c r="B106" s="6"/>
      <c r="C106" s="6"/>
      <c r="D106" s="6"/>
      <c r="E106" s="6"/>
      <c r="F106" s="6"/>
      <c r="G106" s="9"/>
    </row>
    <row r="107" spans="1:7" ht="14.25" customHeight="1">
      <c r="A107" s="4"/>
      <c r="B107" s="6"/>
      <c r="C107" s="6"/>
      <c r="D107" s="6"/>
      <c r="E107" s="6"/>
      <c r="F107" s="6"/>
      <c r="G107" s="9"/>
    </row>
    <row r="108" spans="1:7" ht="14.25" customHeight="1">
      <c r="A108" s="4"/>
      <c r="B108" s="6"/>
      <c r="C108" s="6"/>
      <c r="D108" s="6"/>
      <c r="E108" s="6"/>
      <c r="F108" s="6"/>
      <c r="G108" s="9"/>
    </row>
    <row r="109" spans="1:7" ht="14.25" customHeight="1">
      <c r="A109" s="4"/>
      <c r="B109" s="6"/>
      <c r="C109" s="6"/>
      <c r="D109" s="6"/>
      <c r="E109" s="6"/>
      <c r="F109" s="6"/>
      <c r="G109" s="9"/>
    </row>
    <row r="110" spans="1:7" ht="14.25" customHeight="1">
      <c r="A110" s="4"/>
      <c r="B110" s="6"/>
      <c r="C110" s="6"/>
      <c r="D110" s="6"/>
      <c r="E110" s="6"/>
      <c r="F110" s="6"/>
      <c r="G110" s="9"/>
    </row>
    <row r="111" spans="1:7" ht="14.25" customHeight="1">
      <c r="A111" s="4"/>
      <c r="B111" s="6"/>
      <c r="C111" s="6"/>
      <c r="D111" s="6"/>
      <c r="E111" s="6"/>
      <c r="F111" s="6"/>
      <c r="G111" s="9"/>
    </row>
    <row r="112" spans="1:7" ht="14.25" customHeight="1">
      <c r="A112" s="4"/>
      <c r="B112" s="6"/>
      <c r="C112" s="6"/>
      <c r="D112" s="6"/>
      <c r="E112" s="6"/>
      <c r="F112" s="6"/>
      <c r="G112" s="9"/>
    </row>
    <row r="113" spans="1:7" ht="14.25" customHeight="1">
      <c r="A113" s="4"/>
      <c r="B113" s="6"/>
      <c r="C113" s="6"/>
      <c r="D113" s="6"/>
      <c r="E113" s="6"/>
      <c r="F113" s="6"/>
      <c r="G113" s="9"/>
    </row>
    <row r="114" spans="1:7" ht="14.25" customHeight="1">
      <c r="A114" s="4"/>
      <c r="B114" s="6"/>
      <c r="C114" s="6"/>
      <c r="D114" s="6"/>
      <c r="E114" s="6"/>
      <c r="F114" s="6"/>
      <c r="G114" s="9"/>
    </row>
    <row r="115" spans="1:7" ht="14.25" customHeight="1">
      <c r="A115" s="4"/>
      <c r="B115" s="6"/>
      <c r="C115" s="6"/>
      <c r="D115" s="6"/>
      <c r="E115" s="6"/>
      <c r="F115" s="6"/>
      <c r="G115" s="9"/>
    </row>
    <row r="116" spans="1:7" ht="14.25" customHeight="1">
      <c r="A116" s="4"/>
      <c r="B116" s="6"/>
      <c r="C116" s="6"/>
      <c r="D116" s="6"/>
      <c r="E116" s="6"/>
      <c r="F116" s="6"/>
      <c r="G116" s="9"/>
    </row>
    <row r="117" spans="1:7" ht="14.25" customHeight="1">
      <c r="A117" s="4"/>
      <c r="B117" s="6"/>
      <c r="C117" s="6"/>
      <c r="D117" s="6"/>
      <c r="E117" s="6"/>
      <c r="F117" s="6"/>
      <c r="G117" s="9"/>
    </row>
    <row r="118" spans="1:7" ht="14.25" customHeight="1">
      <c r="A118" s="4"/>
      <c r="B118" s="6"/>
      <c r="C118" s="6"/>
      <c r="D118" s="6"/>
      <c r="E118" s="6"/>
      <c r="F118" s="6"/>
      <c r="G118" s="9"/>
    </row>
    <row r="119" spans="1:7" ht="14.25" customHeight="1">
      <c r="A119" s="4"/>
      <c r="B119" s="6"/>
      <c r="C119" s="6"/>
      <c r="D119" s="6"/>
      <c r="E119" s="6"/>
      <c r="F119" s="6"/>
      <c r="G119" s="9"/>
    </row>
    <row r="120" spans="1:7" ht="14.25" customHeight="1">
      <c r="A120" s="4"/>
      <c r="B120" s="6"/>
      <c r="C120" s="6"/>
      <c r="D120" s="6"/>
      <c r="E120" s="6"/>
      <c r="F120" s="6"/>
      <c r="G120" s="9"/>
    </row>
    <row r="121" spans="1:7" ht="14.25" customHeight="1">
      <c r="A121" s="4"/>
      <c r="B121" s="6"/>
      <c r="C121" s="6"/>
      <c r="D121" s="6"/>
      <c r="E121" s="6"/>
      <c r="F121" s="6"/>
      <c r="G121" s="9"/>
    </row>
    <row r="122" spans="1:7" ht="14.25" customHeight="1">
      <c r="A122" s="4"/>
      <c r="B122" s="6"/>
      <c r="C122" s="6"/>
      <c r="D122" s="6"/>
      <c r="E122" s="6"/>
      <c r="F122" s="6"/>
      <c r="G122" s="9"/>
    </row>
    <row r="123" spans="1:7" ht="14.25" customHeight="1">
      <c r="A123" s="4"/>
      <c r="B123" s="6"/>
      <c r="C123" s="6"/>
      <c r="D123" s="6"/>
      <c r="E123" s="6"/>
      <c r="F123" s="6"/>
      <c r="G123" s="9"/>
    </row>
    <row r="124" spans="1:7" ht="14.25" customHeight="1">
      <c r="A124" s="4"/>
      <c r="B124" s="6"/>
      <c r="C124" s="6"/>
      <c r="D124" s="6"/>
      <c r="E124" s="6"/>
      <c r="F124" s="6"/>
      <c r="G124" s="9"/>
    </row>
    <row r="125" spans="1:7" ht="14.25" customHeight="1">
      <c r="A125" s="4"/>
      <c r="B125" s="6"/>
      <c r="C125" s="6"/>
      <c r="D125" s="6"/>
      <c r="E125" s="6"/>
      <c r="F125" s="6"/>
      <c r="G125" s="9"/>
    </row>
    <row r="126" spans="1:7" ht="14.25" customHeight="1">
      <c r="A126" s="4"/>
      <c r="B126" s="6"/>
      <c r="C126" s="6"/>
      <c r="D126" s="6"/>
      <c r="E126" s="6"/>
      <c r="F126" s="6"/>
      <c r="G126" s="9"/>
    </row>
    <row r="127" spans="1:7" ht="14.25" customHeight="1">
      <c r="A127" s="4"/>
      <c r="B127" s="6"/>
      <c r="C127" s="6"/>
      <c r="D127" s="6"/>
      <c r="E127" s="6"/>
      <c r="F127" s="6"/>
      <c r="G127" s="9"/>
    </row>
    <row r="128" spans="1:7" ht="14.25" customHeight="1">
      <c r="A128" s="4"/>
      <c r="B128" s="6"/>
      <c r="C128" s="6"/>
      <c r="D128" s="6"/>
      <c r="E128" s="6"/>
      <c r="F128" s="6"/>
      <c r="G128" s="9"/>
    </row>
    <row r="129" spans="1:7" ht="14.25" customHeight="1">
      <c r="A129" s="4"/>
      <c r="B129" s="6"/>
      <c r="C129" s="6"/>
      <c r="D129" s="6"/>
      <c r="E129" s="6"/>
      <c r="F129" s="6"/>
      <c r="G129" s="9"/>
    </row>
    <row r="130" spans="1:7" ht="14.25" customHeight="1">
      <c r="A130" s="4"/>
      <c r="B130" s="6"/>
      <c r="C130" s="6"/>
      <c r="D130" s="6"/>
      <c r="E130" s="6"/>
      <c r="F130" s="6"/>
      <c r="G130" s="9"/>
    </row>
    <row r="131" spans="1:7" ht="14.25" customHeight="1">
      <c r="A131" s="4"/>
      <c r="B131" s="6"/>
      <c r="C131" s="6"/>
      <c r="D131" s="6"/>
      <c r="E131" s="6"/>
      <c r="F131" s="6"/>
      <c r="G131" s="9"/>
    </row>
    <row r="132" spans="1:7" ht="14.25" customHeight="1">
      <c r="A132" s="4"/>
      <c r="B132" s="6"/>
      <c r="C132" s="6"/>
      <c r="D132" s="6"/>
      <c r="E132" s="6"/>
      <c r="F132" s="6"/>
      <c r="G132" s="9"/>
    </row>
    <row r="133" spans="1:7" ht="14.25" customHeight="1">
      <c r="A133" s="4"/>
      <c r="B133" s="6"/>
      <c r="C133" s="6"/>
      <c r="D133" s="6"/>
      <c r="E133" s="6"/>
      <c r="F133" s="6"/>
      <c r="G133" s="9"/>
    </row>
    <row r="134" spans="1:7" ht="14.25" customHeight="1">
      <c r="A134" s="4"/>
      <c r="B134" s="6"/>
      <c r="C134" s="6"/>
      <c r="D134" s="6"/>
      <c r="E134" s="6"/>
      <c r="F134" s="6"/>
      <c r="G134" s="9"/>
    </row>
    <row r="135" spans="1:7" ht="14.25" customHeight="1">
      <c r="A135" s="4"/>
      <c r="B135" s="6"/>
      <c r="C135" s="6"/>
      <c r="D135" s="6"/>
      <c r="E135" s="6"/>
      <c r="F135" s="6"/>
      <c r="G135" s="9"/>
    </row>
    <row r="136" spans="1:7" ht="14.25" customHeight="1">
      <c r="A136" s="4"/>
      <c r="B136" s="6"/>
      <c r="C136" s="6"/>
      <c r="D136" s="6"/>
      <c r="E136" s="6"/>
      <c r="F136" s="6"/>
      <c r="G136" s="9"/>
    </row>
    <row r="137" spans="1:7" ht="14.25" customHeight="1">
      <c r="A137" s="4"/>
      <c r="B137" s="6"/>
      <c r="C137" s="6"/>
      <c r="D137" s="6"/>
      <c r="E137" s="6"/>
      <c r="F137" s="6"/>
      <c r="G137" s="9"/>
    </row>
    <row r="138" spans="1:7" ht="14.25" customHeight="1">
      <c r="A138" s="4"/>
      <c r="B138" s="6"/>
      <c r="C138" s="6"/>
      <c r="D138" s="6"/>
      <c r="E138" s="6"/>
      <c r="F138" s="6"/>
      <c r="G138" s="9"/>
    </row>
    <row r="139" spans="1:7" ht="14.25" customHeight="1">
      <c r="A139" s="4"/>
      <c r="B139" s="6"/>
      <c r="C139" s="6"/>
      <c r="D139" s="6"/>
      <c r="E139" s="6"/>
      <c r="F139" s="6"/>
      <c r="G139" s="9"/>
    </row>
    <row r="140" spans="1:7" ht="14.25" customHeight="1">
      <c r="A140" s="4"/>
      <c r="B140" s="6"/>
      <c r="C140" s="6"/>
      <c r="D140" s="6"/>
      <c r="E140" s="6"/>
      <c r="F140" s="6"/>
      <c r="G140" s="9"/>
    </row>
    <row r="141" spans="1:7" ht="14.25" customHeight="1">
      <c r="A141" s="4"/>
      <c r="B141" s="6"/>
      <c r="C141" s="6"/>
      <c r="D141" s="6"/>
      <c r="E141" s="6"/>
      <c r="F141" s="6"/>
      <c r="G141" s="9"/>
    </row>
    <row r="142" spans="1:7" ht="14.25" customHeight="1">
      <c r="A142" s="4"/>
      <c r="B142" s="6"/>
      <c r="C142" s="6"/>
      <c r="D142" s="6"/>
      <c r="E142" s="6"/>
      <c r="F142" s="6"/>
      <c r="G142" s="9"/>
    </row>
    <row r="143" spans="1:7" ht="14.25" customHeight="1">
      <c r="A143" s="4"/>
      <c r="B143" s="6"/>
      <c r="C143" s="6"/>
      <c r="D143" s="6"/>
      <c r="E143" s="6"/>
      <c r="F143" s="6"/>
      <c r="G143" s="9"/>
    </row>
    <row r="144" spans="1:7" ht="14.25" customHeight="1">
      <c r="A144" s="4"/>
      <c r="B144" s="6"/>
      <c r="C144" s="6"/>
      <c r="D144" s="6"/>
      <c r="E144" s="6"/>
      <c r="F144" s="6"/>
      <c r="G144" s="9"/>
    </row>
    <row r="145" spans="1:7" ht="14.25" customHeight="1">
      <c r="A145" s="4"/>
      <c r="B145" s="6"/>
      <c r="C145" s="6"/>
      <c r="D145" s="6"/>
      <c r="E145" s="6"/>
      <c r="F145" s="6"/>
      <c r="G145" s="9"/>
    </row>
    <row r="146" spans="1:7" ht="14.25" customHeight="1">
      <c r="A146" s="4"/>
      <c r="B146" s="6"/>
      <c r="C146" s="6"/>
      <c r="D146" s="6"/>
      <c r="E146" s="6"/>
      <c r="F146" s="6"/>
      <c r="G146" s="9"/>
    </row>
    <row r="147" spans="1:7" ht="14.25" customHeight="1">
      <c r="A147" s="4"/>
      <c r="B147" s="6"/>
      <c r="C147" s="6"/>
      <c r="D147" s="6"/>
      <c r="E147" s="6"/>
      <c r="F147" s="6"/>
      <c r="G147" s="9"/>
    </row>
    <row r="148" spans="1:7" ht="14.25" customHeight="1">
      <c r="A148" s="4"/>
      <c r="B148" s="6"/>
      <c r="C148" s="6"/>
      <c r="D148" s="6"/>
      <c r="E148" s="6"/>
      <c r="F148" s="6"/>
      <c r="G148" s="9"/>
    </row>
    <row r="149" spans="1:7" ht="14.25" customHeight="1">
      <c r="A149" s="4"/>
      <c r="B149" s="6"/>
      <c r="C149" s="6"/>
      <c r="D149" s="6"/>
      <c r="E149" s="6"/>
      <c r="F149" s="6"/>
      <c r="G149" s="9"/>
    </row>
    <row r="150" spans="1:7" ht="14.25" customHeight="1">
      <c r="A150" s="4"/>
      <c r="B150" s="6"/>
      <c r="C150" s="6"/>
      <c r="D150" s="6"/>
      <c r="E150" s="6"/>
      <c r="F150" s="6"/>
      <c r="G150" s="9"/>
    </row>
    <row r="151" spans="1:7" ht="14.25" customHeight="1">
      <c r="A151" s="4"/>
      <c r="B151" s="6"/>
      <c r="C151" s="6"/>
      <c r="D151" s="6"/>
      <c r="E151" s="6"/>
      <c r="F151" s="6"/>
      <c r="G151" s="9"/>
    </row>
    <row r="152" spans="1:7" ht="14.25" customHeight="1">
      <c r="A152" s="4"/>
      <c r="B152" s="6"/>
      <c r="C152" s="6"/>
      <c r="D152" s="6"/>
      <c r="E152" s="6"/>
      <c r="F152" s="6"/>
      <c r="G152" s="9"/>
    </row>
    <row r="153" spans="1:7" ht="14.25" customHeight="1">
      <c r="A153" s="4"/>
      <c r="B153" s="6"/>
      <c r="C153" s="6"/>
      <c r="D153" s="6"/>
      <c r="E153" s="6"/>
      <c r="F153" s="6"/>
      <c r="G153" s="9"/>
    </row>
    <row r="154" spans="1:7" ht="14.25" customHeight="1">
      <c r="A154" s="4"/>
      <c r="B154" s="6"/>
      <c r="C154" s="6"/>
      <c r="D154" s="6"/>
      <c r="E154" s="6"/>
      <c r="F154" s="6"/>
      <c r="G154" s="9"/>
    </row>
    <row r="155" spans="1:7" ht="14.25" customHeight="1">
      <c r="A155" s="4"/>
      <c r="B155" s="6"/>
      <c r="C155" s="6"/>
      <c r="D155" s="6"/>
      <c r="E155" s="6"/>
      <c r="F155" s="6"/>
      <c r="G155" s="9"/>
    </row>
    <row r="156" spans="1:7" ht="14.25" customHeight="1">
      <c r="A156" s="4"/>
      <c r="B156" s="6"/>
      <c r="C156" s="6"/>
      <c r="D156" s="6"/>
      <c r="E156" s="6"/>
      <c r="F156" s="6"/>
      <c r="G156" s="9"/>
    </row>
    <row r="157" spans="1:7" ht="14.25" customHeight="1">
      <c r="A157" s="4"/>
      <c r="B157" s="6"/>
      <c r="C157" s="6"/>
      <c r="D157" s="6"/>
      <c r="E157" s="6"/>
      <c r="F157" s="6"/>
      <c r="G157" s="9"/>
    </row>
    <row r="158" spans="1:7" ht="14.25" customHeight="1">
      <c r="A158" s="4"/>
      <c r="B158" s="6"/>
      <c r="C158" s="6"/>
      <c r="D158" s="6"/>
      <c r="E158" s="6"/>
      <c r="F158" s="6"/>
      <c r="G158" s="9"/>
    </row>
    <row r="159" spans="1:7" ht="14.25" customHeight="1">
      <c r="A159" s="4"/>
      <c r="B159" s="6"/>
      <c r="C159" s="6"/>
      <c r="D159" s="6"/>
      <c r="E159" s="6"/>
      <c r="F159" s="6"/>
      <c r="G159" s="9"/>
    </row>
    <row r="160" spans="1:7" ht="14.25" customHeight="1">
      <c r="A160" s="4"/>
      <c r="B160" s="6"/>
      <c r="C160" s="6"/>
      <c r="D160" s="6"/>
      <c r="E160" s="6"/>
      <c r="F160" s="6"/>
      <c r="G160" s="9"/>
    </row>
    <row r="161" spans="1:7" ht="14.25" customHeight="1">
      <c r="A161" s="4"/>
      <c r="B161" s="6"/>
      <c r="C161" s="6"/>
      <c r="D161" s="6"/>
      <c r="E161" s="6"/>
      <c r="F161" s="6"/>
      <c r="G161" s="9"/>
    </row>
    <row r="162" spans="1:7" ht="14.25" customHeight="1">
      <c r="A162" s="4"/>
      <c r="B162" s="6"/>
      <c r="C162" s="6"/>
      <c r="D162" s="6"/>
      <c r="E162" s="6"/>
      <c r="F162" s="6"/>
      <c r="G162" s="9"/>
    </row>
    <row r="163" spans="1:7" ht="14.25" customHeight="1">
      <c r="A163" s="4"/>
      <c r="B163" s="6"/>
      <c r="C163" s="6"/>
      <c r="D163" s="6"/>
      <c r="E163" s="6"/>
      <c r="F163" s="6"/>
      <c r="G163" s="9"/>
    </row>
    <row r="164" spans="1:7" ht="14.25" customHeight="1">
      <c r="A164" s="4"/>
      <c r="B164" s="6"/>
      <c r="C164" s="6"/>
      <c r="D164" s="6"/>
      <c r="E164" s="6"/>
      <c r="F164" s="6"/>
      <c r="G164" s="9"/>
    </row>
    <row r="165" spans="1:7" ht="14.25" customHeight="1">
      <c r="A165" s="4"/>
      <c r="B165" s="6"/>
      <c r="C165" s="6"/>
      <c r="D165" s="6"/>
      <c r="E165" s="6"/>
      <c r="F165" s="6"/>
      <c r="G165" s="9"/>
    </row>
    <row r="166" spans="1:7" ht="14.25" customHeight="1">
      <c r="A166" s="4"/>
      <c r="B166" s="6"/>
      <c r="C166" s="6"/>
      <c r="D166" s="6"/>
      <c r="E166" s="6"/>
      <c r="F166" s="6"/>
      <c r="G166" s="9"/>
    </row>
    <row r="167" spans="1:7" ht="14.25" customHeight="1">
      <c r="A167" s="4"/>
      <c r="B167" s="6"/>
      <c r="C167" s="6"/>
      <c r="D167" s="6"/>
      <c r="E167" s="6"/>
      <c r="F167" s="6"/>
      <c r="G167" s="9"/>
    </row>
    <row r="168" spans="1:7" ht="14.25" customHeight="1">
      <c r="A168" s="4"/>
      <c r="B168" s="6"/>
      <c r="C168" s="6"/>
      <c r="D168" s="6"/>
      <c r="E168" s="6"/>
      <c r="F168" s="6"/>
      <c r="G168" s="9"/>
    </row>
    <row r="169" spans="1:7" ht="14.25" customHeight="1">
      <c r="A169" s="4"/>
      <c r="B169" s="6"/>
      <c r="C169" s="6"/>
      <c r="D169" s="6"/>
      <c r="E169" s="6"/>
      <c r="F169" s="6"/>
      <c r="G169" s="9"/>
    </row>
    <row r="170" spans="1:7" ht="14.25" customHeight="1">
      <c r="A170" s="4"/>
      <c r="B170" s="6"/>
      <c r="C170" s="6"/>
      <c r="D170" s="6"/>
      <c r="E170" s="6"/>
      <c r="F170" s="6"/>
      <c r="G170" s="9"/>
    </row>
    <row r="171" spans="1:7" ht="14.25" customHeight="1">
      <c r="A171" s="4"/>
      <c r="B171" s="6"/>
      <c r="C171" s="6"/>
      <c r="D171" s="6"/>
      <c r="E171" s="6"/>
      <c r="F171" s="6"/>
      <c r="G171" s="9"/>
    </row>
    <row r="172" spans="1:7" ht="14.25" customHeight="1">
      <c r="A172" s="4"/>
      <c r="B172" s="6"/>
      <c r="C172" s="6"/>
      <c r="D172" s="6"/>
      <c r="E172" s="6"/>
      <c r="F172" s="6"/>
      <c r="G172" s="9"/>
    </row>
    <row r="173" spans="1:7" ht="14.25" customHeight="1">
      <c r="A173" s="4"/>
      <c r="B173" s="6"/>
      <c r="C173" s="6"/>
      <c r="D173" s="6"/>
      <c r="E173" s="6"/>
      <c r="F173" s="6"/>
      <c r="G173" s="9"/>
    </row>
    <row r="174" spans="1:7" ht="14.25" customHeight="1">
      <c r="A174" s="4"/>
      <c r="B174" s="6"/>
      <c r="C174" s="6"/>
      <c r="D174" s="6"/>
      <c r="E174" s="6"/>
      <c r="F174" s="6"/>
      <c r="G174" s="9"/>
    </row>
    <row r="175" spans="1:7" ht="14.25" customHeight="1">
      <c r="A175" s="4"/>
      <c r="B175" s="6"/>
      <c r="C175" s="6"/>
      <c r="D175" s="6"/>
      <c r="E175" s="6"/>
      <c r="F175" s="6"/>
      <c r="G175" s="9"/>
    </row>
    <row r="176" spans="1:7" ht="14.25" customHeight="1">
      <c r="A176" s="4"/>
      <c r="B176" s="6"/>
      <c r="C176" s="6"/>
      <c r="D176" s="6"/>
      <c r="E176" s="6"/>
      <c r="F176" s="6"/>
      <c r="G176" s="9"/>
    </row>
    <row r="177" spans="1:7" ht="14.25" customHeight="1">
      <c r="A177" s="4"/>
      <c r="B177" s="6"/>
      <c r="C177" s="6"/>
      <c r="D177" s="6"/>
      <c r="E177" s="6"/>
      <c r="F177" s="6"/>
      <c r="G177" s="9"/>
    </row>
    <row r="178" spans="1:7" ht="14.25" customHeight="1">
      <c r="A178" s="4"/>
      <c r="B178" s="6"/>
      <c r="C178" s="6"/>
      <c r="D178" s="6"/>
      <c r="E178" s="6"/>
      <c r="F178" s="6"/>
      <c r="G178" s="9"/>
    </row>
    <row r="179" spans="1:7" ht="14.25" customHeight="1">
      <c r="A179" s="4"/>
      <c r="B179" s="6"/>
      <c r="C179" s="6"/>
      <c r="D179" s="6"/>
      <c r="E179" s="6"/>
      <c r="F179" s="6"/>
      <c r="G179" s="9"/>
    </row>
    <row r="180" spans="1:7" ht="14.25" customHeight="1">
      <c r="A180" s="4"/>
      <c r="B180" s="6"/>
      <c r="C180" s="6"/>
      <c r="D180" s="6"/>
      <c r="E180" s="6"/>
      <c r="F180" s="6"/>
      <c r="G180" s="9"/>
    </row>
    <row r="181" spans="1:7" ht="14.25" customHeight="1">
      <c r="A181" s="4"/>
      <c r="B181" s="6"/>
      <c r="C181" s="6"/>
      <c r="D181" s="6"/>
      <c r="E181" s="6"/>
      <c r="F181" s="6"/>
      <c r="G181" s="9"/>
    </row>
    <row r="182" spans="1:7" ht="14.25" customHeight="1">
      <c r="A182" s="4"/>
      <c r="B182" s="6"/>
      <c r="C182" s="6"/>
      <c r="D182" s="6"/>
      <c r="E182" s="6"/>
      <c r="F182" s="6"/>
      <c r="G182" s="9"/>
    </row>
    <row r="183" spans="1:7" ht="14.25" customHeight="1">
      <c r="A183" s="4"/>
      <c r="B183" s="6"/>
      <c r="C183" s="6"/>
      <c r="D183" s="6"/>
      <c r="E183" s="6"/>
      <c r="F183" s="6"/>
      <c r="G183" s="9"/>
    </row>
    <row r="184" spans="1:7" ht="14.25" customHeight="1">
      <c r="A184" s="4"/>
      <c r="B184" s="6"/>
      <c r="C184" s="6"/>
      <c r="D184" s="6"/>
      <c r="E184" s="6"/>
      <c r="F184" s="6"/>
      <c r="G184" s="9"/>
    </row>
    <row r="185" spans="1:7" ht="14.25" customHeight="1">
      <c r="A185" s="4"/>
      <c r="B185" s="6"/>
      <c r="C185" s="6"/>
      <c r="D185" s="6"/>
      <c r="E185" s="6"/>
      <c r="F185" s="6"/>
      <c r="G185" s="9"/>
    </row>
    <row r="186" spans="1:7" ht="14.25" customHeight="1">
      <c r="A186" s="4"/>
      <c r="B186" s="6"/>
      <c r="C186" s="6"/>
      <c r="D186" s="6"/>
      <c r="E186" s="6"/>
      <c r="F186" s="6"/>
      <c r="G186" s="9"/>
    </row>
    <row r="187" spans="1:7" ht="14.25" customHeight="1">
      <c r="A187" s="4"/>
      <c r="B187" s="6"/>
      <c r="C187" s="6"/>
      <c r="D187" s="6"/>
      <c r="E187" s="6"/>
      <c r="F187" s="6"/>
      <c r="G187" s="9"/>
    </row>
    <row r="188" spans="1:7" ht="14.25" customHeight="1">
      <c r="A188" s="4"/>
      <c r="B188" s="6"/>
      <c r="C188" s="6"/>
      <c r="D188" s="6"/>
      <c r="E188" s="6"/>
      <c r="F188" s="6"/>
      <c r="G188" s="9"/>
    </row>
    <row r="189" spans="1:7" ht="14.25" customHeight="1">
      <c r="A189" s="4"/>
      <c r="B189" s="6"/>
      <c r="C189" s="6"/>
      <c r="D189" s="6"/>
      <c r="E189" s="6"/>
      <c r="F189" s="6"/>
      <c r="G189" s="9"/>
    </row>
    <row r="190" spans="1:7" ht="14.25" customHeight="1">
      <c r="A190" s="4"/>
      <c r="B190" s="6"/>
      <c r="C190" s="6"/>
      <c r="D190" s="6"/>
      <c r="E190" s="6"/>
      <c r="F190" s="6"/>
      <c r="G190" s="9"/>
    </row>
    <row r="191" spans="1:7" ht="14.25" customHeight="1">
      <c r="A191" s="4"/>
      <c r="B191" s="6"/>
      <c r="C191" s="6"/>
      <c r="D191" s="6"/>
      <c r="E191" s="6"/>
      <c r="F191" s="6"/>
      <c r="G191" s="9"/>
    </row>
    <row r="192" spans="1:7" ht="14.25" customHeight="1">
      <c r="A192" s="4"/>
      <c r="B192" s="6"/>
      <c r="C192" s="6"/>
      <c r="D192" s="6"/>
      <c r="E192" s="6"/>
      <c r="F192" s="6"/>
      <c r="G192" s="9"/>
    </row>
    <row r="193" spans="1:7" ht="14.25" customHeight="1">
      <c r="A193" s="4"/>
      <c r="B193" s="6"/>
      <c r="C193" s="6"/>
      <c r="D193" s="6"/>
      <c r="E193" s="6"/>
      <c r="F193" s="6"/>
      <c r="G193" s="9"/>
    </row>
    <row r="194" spans="1:7" ht="14.25" customHeight="1">
      <c r="A194" s="4"/>
      <c r="B194" s="6"/>
      <c r="C194" s="6"/>
      <c r="D194" s="6"/>
      <c r="E194" s="6"/>
      <c r="F194" s="6"/>
      <c r="G194" s="9"/>
    </row>
    <row r="195" spans="1:7" ht="14.25" customHeight="1">
      <c r="A195" s="4"/>
      <c r="B195" s="6"/>
      <c r="C195" s="6"/>
      <c r="D195" s="6"/>
      <c r="E195" s="6"/>
      <c r="F195" s="6"/>
      <c r="G195" s="9"/>
    </row>
    <row r="196" spans="1:7" ht="14.25" customHeight="1">
      <c r="A196" s="4"/>
      <c r="B196" s="6"/>
      <c r="C196" s="6"/>
      <c r="D196" s="6"/>
      <c r="E196" s="6"/>
      <c r="F196" s="6"/>
      <c r="G196" s="9"/>
    </row>
    <row r="197" spans="1:7" ht="14.25" customHeight="1">
      <c r="A197" s="4"/>
      <c r="B197" s="6"/>
      <c r="C197" s="6"/>
      <c r="D197" s="6"/>
      <c r="E197" s="6"/>
      <c r="F197" s="6"/>
      <c r="G197" s="9"/>
    </row>
    <row r="198" spans="1:7" ht="14.25" customHeight="1">
      <c r="A198" s="4"/>
      <c r="B198" s="6"/>
      <c r="C198" s="6"/>
      <c r="D198" s="6"/>
      <c r="E198" s="6"/>
      <c r="F198" s="6"/>
      <c r="G198" s="9"/>
    </row>
    <row r="199" spans="1:7" ht="14.25" customHeight="1">
      <c r="A199" s="4"/>
      <c r="B199" s="6"/>
      <c r="C199" s="6"/>
      <c r="D199" s="6"/>
      <c r="E199" s="6"/>
      <c r="F199" s="6"/>
      <c r="G199" s="9"/>
    </row>
    <row r="200" spans="1:7" ht="14.25" customHeight="1">
      <c r="A200" s="4"/>
      <c r="B200" s="6"/>
      <c r="C200" s="6"/>
      <c r="D200" s="6"/>
      <c r="E200" s="6"/>
      <c r="F200" s="6"/>
      <c r="G200" s="9"/>
    </row>
    <row r="201" spans="1:7" ht="14.25" customHeight="1">
      <c r="A201" s="4"/>
      <c r="B201" s="6"/>
      <c r="C201" s="6"/>
      <c r="D201" s="6"/>
      <c r="E201" s="6"/>
      <c r="F201" s="6"/>
      <c r="G201" s="9"/>
    </row>
    <row r="202" spans="1:7" ht="14.25" customHeight="1">
      <c r="A202" s="4"/>
      <c r="B202" s="6"/>
      <c r="C202" s="6"/>
      <c r="D202" s="6"/>
      <c r="E202" s="6"/>
      <c r="F202" s="6"/>
      <c r="G202" s="9"/>
    </row>
    <row r="203" spans="1:7" ht="14.25" customHeight="1">
      <c r="A203" s="4"/>
      <c r="B203" s="6"/>
      <c r="C203" s="6"/>
      <c r="D203" s="6"/>
      <c r="E203" s="6"/>
      <c r="F203" s="6"/>
      <c r="G203" s="9"/>
    </row>
    <row r="204" spans="1:7" ht="14.25" customHeight="1">
      <c r="A204" s="4"/>
      <c r="B204" s="6"/>
      <c r="C204" s="6"/>
      <c r="D204" s="6"/>
      <c r="E204" s="6"/>
      <c r="F204" s="6"/>
      <c r="G204" s="9"/>
    </row>
    <row r="205" spans="1:7" ht="14.25" customHeight="1">
      <c r="A205" s="4"/>
      <c r="B205" s="6"/>
      <c r="C205" s="6"/>
      <c r="D205" s="6"/>
      <c r="E205" s="6"/>
      <c r="F205" s="6"/>
      <c r="G205" s="9"/>
    </row>
    <row r="206" spans="1:7" ht="14.25" customHeight="1">
      <c r="A206" s="4"/>
      <c r="B206" s="6"/>
      <c r="C206" s="6"/>
      <c r="D206" s="6"/>
      <c r="E206" s="6"/>
      <c r="F206" s="6"/>
      <c r="G206" s="9"/>
    </row>
    <row r="207" spans="1:7" ht="14.25" customHeight="1">
      <c r="A207" s="4"/>
      <c r="B207" s="6"/>
      <c r="C207" s="6"/>
      <c r="D207" s="6"/>
      <c r="E207" s="6"/>
      <c r="F207" s="6"/>
      <c r="G207" s="9"/>
    </row>
    <row r="208" spans="1:7" ht="14.25" customHeight="1">
      <c r="A208" s="4"/>
      <c r="B208" s="6"/>
      <c r="C208" s="6"/>
      <c r="D208" s="6"/>
      <c r="E208" s="6"/>
      <c r="F208" s="6"/>
      <c r="G208" s="9"/>
    </row>
    <row r="209" spans="1:7" ht="14.25" customHeight="1">
      <c r="A209" s="4"/>
      <c r="B209" s="6"/>
      <c r="C209" s="6"/>
      <c r="D209" s="6"/>
      <c r="E209" s="6"/>
      <c r="F209" s="6"/>
      <c r="G209" s="9"/>
    </row>
    <row r="210" spans="1:7" ht="14.25" customHeight="1">
      <c r="A210" s="4"/>
      <c r="B210" s="6"/>
      <c r="C210" s="6"/>
      <c r="D210" s="6"/>
      <c r="E210" s="6"/>
      <c r="F210" s="6"/>
      <c r="G210" s="9"/>
    </row>
    <row r="211" spans="1:7" ht="14.25" customHeight="1">
      <c r="A211" s="4"/>
      <c r="B211" s="6"/>
      <c r="C211" s="6"/>
      <c r="D211" s="6"/>
      <c r="E211" s="6"/>
      <c r="F211" s="6"/>
      <c r="G211" s="9"/>
    </row>
    <row r="212" spans="1:7" ht="14.25" customHeight="1">
      <c r="A212" s="4"/>
      <c r="B212" s="6"/>
      <c r="C212" s="6"/>
      <c r="D212" s="6"/>
      <c r="E212" s="6"/>
      <c r="F212" s="6"/>
      <c r="G212" s="9"/>
    </row>
    <row r="213" spans="1:7" ht="14.25" customHeight="1">
      <c r="A213" s="4"/>
      <c r="B213" s="6"/>
      <c r="C213" s="6"/>
      <c r="D213" s="6"/>
      <c r="E213" s="6"/>
      <c r="F213" s="6"/>
      <c r="G213" s="9"/>
    </row>
    <row r="214" spans="1:7" ht="14.25" customHeight="1">
      <c r="A214" s="4"/>
      <c r="B214" s="6"/>
      <c r="C214" s="6"/>
      <c r="D214" s="6"/>
      <c r="E214" s="6"/>
      <c r="F214" s="6"/>
      <c r="G214" s="9"/>
    </row>
    <row r="215" spans="1:7" ht="14.25" customHeight="1">
      <c r="A215" s="4"/>
      <c r="B215" s="6"/>
      <c r="C215" s="6"/>
      <c r="D215" s="6"/>
      <c r="E215" s="6"/>
      <c r="F215" s="6"/>
      <c r="G215" s="9"/>
    </row>
    <row r="216" spans="1:7" ht="14.25" customHeight="1">
      <c r="A216" s="4"/>
      <c r="B216" s="6"/>
      <c r="C216" s="6"/>
      <c r="D216" s="6"/>
      <c r="E216" s="6"/>
      <c r="F216" s="6"/>
      <c r="G216" s="9"/>
    </row>
    <row r="217" spans="1:7" ht="14.25" customHeight="1">
      <c r="A217" s="4"/>
      <c r="B217" s="6"/>
      <c r="C217" s="6"/>
      <c r="D217" s="6"/>
      <c r="E217" s="6"/>
      <c r="F217" s="6"/>
      <c r="G217" s="9"/>
    </row>
    <row r="218" spans="1:7" ht="14.25" customHeight="1">
      <c r="A218" s="4"/>
      <c r="B218" s="6"/>
      <c r="C218" s="6"/>
      <c r="D218" s="6"/>
      <c r="E218" s="6"/>
      <c r="F218" s="6"/>
      <c r="G218" s="9"/>
    </row>
    <row r="219" spans="1:7" ht="14.25" customHeight="1">
      <c r="A219" s="4"/>
      <c r="B219" s="6"/>
      <c r="C219" s="6"/>
      <c r="D219" s="6"/>
      <c r="E219" s="6"/>
      <c r="F219" s="6"/>
      <c r="G219" s="9"/>
    </row>
    <row r="220" spans="1:7" ht="14.25" customHeight="1">
      <c r="A220" s="4"/>
      <c r="B220" s="6"/>
      <c r="C220" s="6"/>
      <c r="D220" s="6"/>
      <c r="E220" s="6"/>
      <c r="F220" s="6"/>
      <c r="G220" s="9"/>
    </row>
    <row r="221" spans="1:7" ht="14.25" customHeight="1">
      <c r="A221" s="4"/>
      <c r="B221" s="6"/>
      <c r="C221" s="6"/>
      <c r="D221" s="6"/>
      <c r="E221" s="6"/>
      <c r="F221" s="6"/>
      <c r="G221" s="9"/>
    </row>
    <row r="222" spans="1:7" ht="14.25" customHeight="1">
      <c r="A222" s="4"/>
      <c r="B222" s="6"/>
      <c r="C222" s="6"/>
      <c r="D222" s="6"/>
      <c r="E222" s="6"/>
      <c r="F222" s="6"/>
      <c r="G222" s="9"/>
    </row>
    <row r="223" spans="1:7" ht="14.25" customHeight="1">
      <c r="A223" s="4"/>
      <c r="B223" s="6"/>
      <c r="C223" s="6"/>
      <c r="D223" s="6"/>
      <c r="E223" s="6"/>
      <c r="F223" s="6"/>
      <c r="G223" s="9"/>
    </row>
    <row r="224" spans="1:7" ht="14.25" customHeight="1">
      <c r="A224" s="4"/>
      <c r="B224" s="6"/>
      <c r="C224" s="6"/>
      <c r="D224" s="6"/>
      <c r="E224" s="6"/>
      <c r="F224" s="6"/>
      <c r="G224" s="9"/>
    </row>
    <row r="225" spans="1:7" ht="14.25" customHeight="1">
      <c r="A225" s="4"/>
      <c r="B225" s="6"/>
      <c r="C225" s="6"/>
      <c r="D225" s="6"/>
      <c r="E225" s="6"/>
      <c r="F225" s="6"/>
      <c r="G225" s="9"/>
    </row>
    <row r="226" spans="1:7" ht="14.25" customHeight="1">
      <c r="A226" s="4"/>
      <c r="B226" s="6"/>
      <c r="C226" s="6"/>
      <c r="D226" s="6"/>
      <c r="E226" s="6"/>
      <c r="F226" s="6"/>
      <c r="G226" s="9"/>
    </row>
    <row r="227" spans="1:7" ht="14.25" customHeight="1">
      <c r="A227" s="4"/>
      <c r="B227" s="6"/>
      <c r="C227" s="6"/>
      <c r="D227" s="6"/>
      <c r="E227" s="6"/>
      <c r="F227" s="6"/>
      <c r="G227" s="9"/>
    </row>
    <row r="228" spans="1:7" ht="14.25" customHeight="1">
      <c r="A228" s="4"/>
      <c r="B228" s="6"/>
      <c r="C228" s="6"/>
      <c r="D228" s="6"/>
      <c r="E228" s="6"/>
      <c r="F228" s="6"/>
      <c r="G228" s="9"/>
    </row>
    <row r="229" spans="1:7" ht="14.25" customHeight="1">
      <c r="A229" s="4"/>
      <c r="B229" s="6"/>
      <c r="C229" s="6"/>
      <c r="D229" s="6"/>
      <c r="E229" s="6"/>
      <c r="F229" s="6"/>
      <c r="G229" s="9"/>
    </row>
    <row r="230" spans="1:7" ht="14.25" customHeight="1">
      <c r="A230" s="4"/>
      <c r="B230" s="6"/>
      <c r="C230" s="6"/>
      <c r="D230" s="6"/>
      <c r="E230" s="6"/>
      <c r="F230" s="6"/>
      <c r="G230" s="9"/>
    </row>
    <row r="231" spans="1:7" ht="14.25" customHeight="1">
      <c r="A231" s="4"/>
      <c r="B231" s="6"/>
      <c r="C231" s="6"/>
      <c r="D231" s="6"/>
      <c r="E231" s="6"/>
      <c r="F231" s="6"/>
      <c r="G231" s="9"/>
    </row>
    <row r="232" spans="1:7" ht="14.25" customHeight="1">
      <c r="A232" s="4"/>
      <c r="B232" s="6"/>
      <c r="C232" s="6"/>
      <c r="D232" s="6"/>
      <c r="E232" s="6"/>
      <c r="F232" s="6"/>
      <c r="G232" s="9"/>
    </row>
    <row r="233" spans="1:7" ht="14.25" customHeight="1">
      <c r="A233" s="4"/>
      <c r="B233" s="6"/>
      <c r="C233" s="6"/>
      <c r="D233" s="6"/>
      <c r="E233" s="6"/>
      <c r="F233" s="6"/>
      <c r="G233" s="9"/>
    </row>
    <row r="234" spans="1:7" ht="14.25" customHeight="1">
      <c r="A234" s="4"/>
      <c r="B234" s="6"/>
      <c r="C234" s="6"/>
      <c r="D234" s="6"/>
      <c r="E234" s="6"/>
      <c r="F234" s="6"/>
      <c r="G234" s="9"/>
    </row>
    <row r="235" spans="1:7" ht="14.25" customHeight="1">
      <c r="A235" s="4"/>
      <c r="B235" s="6"/>
      <c r="C235" s="6"/>
      <c r="D235" s="6"/>
      <c r="E235" s="6"/>
      <c r="F235" s="6"/>
      <c r="G235" s="9"/>
    </row>
    <row r="236" spans="1:7" ht="14.25" customHeight="1">
      <c r="A236" s="4"/>
      <c r="B236" s="6"/>
      <c r="C236" s="6"/>
      <c r="D236" s="6"/>
      <c r="E236" s="6"/>
      <c r="F236" s="6"/>
      <c r="G236" s="9"/>
    </row>
    <row r="237" spans="1:7" ht="14.25" customHeight="1">
      <c r="A237" s="4"/>
      <c r="B237" s="6"/>
      <c r="C237" s="6"/>
      <c r="D237" s="6"/>
      <c r="E237" s="6"/>
      <c r="F237" s="6"/>
      <c r="G237" s="9"/>
    </row>
    <row r="238" spans="1:7" ht="14.25" customHeight="1">
      <c r="A238" s="4"/>
      <c r="B238" s="6"/>
      <c r="C238" s="6"/>
      <c r="D238" s="6"/>
      <c r="E238" s="6"/>
      <c r="F238" s="6"/>
      <c r="G238" s="9"/>
    </row>
    <row r="239" spans="1:7" ht="14.25" customHeight="1">
      <c r="A239" s="4"/>
      <c r="B239" s="6"/>
      <c r="C239" s="6"/>
      <c r="D239" s="6"/>
      <c r="E239" s="6"/>
      <c r="F239" s="6"/>
      <c r="G239" s="9"/>
    </row>
    <row r="240" spans="1:7" ht="14.25" customHeight="1">
      <c r="A240" s="4"/>
      <c r="B240" s="6"/>
      <c r="C240" s="6"/>
      <c r="D240" s="6"/>
      <c r="E240" s="6"/>
      <c r="F240" s="6"/>
      <c r="G240" s="9"/>
    </row>
    <row r="241" spans="1:7" ht="14.25" customHeight="1">
      <c r="A241" s="4"/>
      <c r="B241" s="6"/>
      <c r="C241" s="6"/>
      <c r="D241" s="6"/>
      <c r="E241" s="6"/>
      <c r="F241" s="6"/>
      <c r="G241" s="9"/>
    </row>
    <row r="242" spans="1:7" ht="14.25" customHeight="1">
      <c r="A242" s="4"/>
      <c r="B242" s="6"/>
      <c r="C242" s="6"/>
      <c r="D242" s="6"/>
      <c r="E242" s="6"/>
      <c r="F242" s="6"/>
      <c r="G242" s="9"/>
    </row>
    <row r="243" spans="1:7" ht="14.25" customHeight="1">
      <c r="A243" s="4"/>
      <c r="B243" s="6"/>
      <c r="C243" s="6"/>
      <c r="D243" s="6"/>
      <c r="E243" s="6"/>
      <c r="F243" s="6"/>
      <c r="G243" s="9"/>
    </row>
    <row r="244" spans="1:7" ht="14.25" customHeight="1">
      <c r="A244" s="4"/>
      <c r="B244" s="6"/>
      <c r="C244" s="6"/>
      <c r="D244" s="6"/>
      <c r="E244" s="6"/>
      <c r="F244" s="6"/>
      <c r="G244" s="9"/>
    </row>
    <row r="245" spans="1:7" ht="14.25" customHeight="1">
      <c r="A245" s="4"/>
      <c r="B245" s="6"/>
      <c r="C245" s="6"/>
      <c r="D245" s="6"/>
      <c r="E245" s="6"/>
      <c r="F245" s="6"/>
      <c r="G245" s="9"/>
    </row>
    <row r="246" spans="1:7" ht="14.25" customHeight="1">
      <c r="A246" s="4"/>
      <c r="B246" s="6"/>
      <c r="C246" s="6"/>
      <c r="D246" s="6"/>
      <c r="E246" s="6"/>
      <c r="F246" s="6"/>
      <c r="G246" s="9"/>
    </row>
    <row r="247" spans="1:7" ht="14.25" customHeight="1">
      <c r="A247" s="4"/>
      <c r="B247" s="6"/>
      <c r="C247" s="6"/>
      <c r="D247" s="6"/>
      <c r="E247" s="6"/>
      <c r="F247" s="6"/>
      <c r="G247" s="9"/>
    </row>
    <row r="248" spans="1:7" ht="14.25" customHeight="1">
      <c r="A248" s="4"/>
      <c r="B248" s="6"/>
      <c r="C248" s="6"/>
      <c r="D248" s="6"/>
      <c r="E248" s="6"/>
      <c r="F248" s="6"/>
      <c r="G248" s="9"/>
    </row>
    <row r="249" spans="1:7" ht="14.25" customHeight="1">
      <c r="A249" s="4"/>
      <c r="B249" s="6"/>
      <c r="C249" s="6"/>
      <c r="D249" s="6"/>
      <c r="E249" s="6"/>
      <c r="F249" s="6"/>
      <c r="G249" s="9"/>
    </row>
    <row r="250" spans="1:7" ht="14.25" customHeight="1">
      <c r="A250" s="4"/>
      <c r="B250" s="6"/>
      <c r="C250" s="6"/>
      <c r="D250" s="6"/>
      <c r="E250" s="6"/>
      <c r="F250" s="6"/>
      <c r="G250" s="9"/>
    </row>
    <row r="251" spans="1:7" ht="14.25" customHeight="1">
      <c r="A251" s="4"/>
      <c r="B251" s="6"/>
      <c r="C251" s="6"/>
      <c r="D251" s="6"/>
      <c r="E251" s="6"/>
      <c r="F251" s="6"/>
      <c r="G251" s="9"/>
    </row>
    <row r="252" spans="1:7" ht="14.25" customHeight="1">
      <c r="A252" s="4"/>
      <c r="B252" s="6"/>
      <c r="C252" s="6"/>
      <c r="D252" s="6"/>
      <c r="E252" s="6"/>
      <c r="F252" s="6"/>
      <c r="G252" s="9"/>
    </row>
    <row r="253" spans="1:7" ht="14.25" customHeight="1">
      <c r="A253" s="4"/>
      <c r="B253" s="6"/>
      <c r="C253" s="6"/>
      <c r="D253" s="6"/>
      <c r="E253" s="6"/>
      <c r="F253" s="6"/>
      <c r="G253" s="9"/>
    </row>
    <row r="254" spans="1:7" ht="14.25" customHeight="1">
      <c r="A254" s="4"/>
      <c r="B254" s="6"/>
      <c r="C254" s="6"/>
      <c r="D254" s="6"/>
      <c r="E254" s="6"/>
      <c r="F254" s="6"/>
      <c r="G254" s="9"/>
    </row>
    <row r="255" spans="1:7" ht="14.25" customHeight="1">
      <c r="A255" s="4"/>
      <c r="B255" s="6"/>
      <c r="C255" s="6"/>
      <c r="D255" s="6"/>
      <c r="E255" s="6"/>
      <c r="F255" s="6"/>
      <c r="G255" s="9"/>
    </row>
    <row r="256" spans="1:7" ht="14.25" customHeight="1">
      <c r="A256" s="4"/>
      <c r="B256" s="6"/>
      <c r="C256" s="6"/>
      <c r="D256" s="6"/>
      <c r="E256" s="6"/>
      <c r="F256" s="6"/>
      <c r="G256" s="9"/>
    </row>
    <row r="257" spans="1:7" ht="14.25" customHeight="1">
      <c r="A257" s="4"/>
      <c r="B257" s="6"/>
      <c r="C257" s="6"/>
      <c r="D257" s="6"/>
      <c r="E257" s="6"/>
      <c r="F257" s="6"/>
      <c r="G257" s="9"/>
    </row>
    <row r="258" spans="1:7" ht="14.25" customHeight="1">
      <c r="A258" s="4"/>
      <c r="B258" s="6"/>
      <c r="C258" s="6"/>
      <c r="D258" s="6"/>
      <c r="E258" s="6"/>
      <c r="F258" s="6"/>
      <c r="G258" s="9"/>
    </row>
    <row r="259" spans="1:7" ht="14.25" customHeight="1">
      <c r="A259" s="4"/>
      <c r="B259" s="6"/>
      <c r="C259" s="6"/>
      <c r="D259" s="6"/>
      <c r="E259" s="6"/>
      <c r="F259" s="6"/>
      <c r="G259" s="9"/>
    </row>
    <row r="260" spans="1:7" ht="14.25" customHeight="1">
      <c r="A260" s="4"/>
      <c r="B260" s="6"/>
      <c r="C260" s="6"/>
      <c r="D260" s="6"/>
      <c r="E260" s="6"/>
      <c r="F260" s="6"/>
      <c r="G260" s="9"/>
    </row>
    <row r="261" spans="1:7" ht="14.25" customHeight="1">
      <c r="A261" s="4"/>
      <c r="B261" s="6"/>
      <c r="C261" s="6"/>
      <c r="D261" s="6"/>
      <c r="E261" s="6"/>
      <c r="F261" s="6"/>
      <c r="G261" s="9"/>
    </row>
    <row r="262" spans="1:7" ht="14.25" customHeight="1">
      <c r="A262" s="4"/>
      <c r="B262" s="6"/>
      <c r="C262" s="6"/>
      <c r="D262" s="6"/>
      <c r="E262" s="6"/>
      <c r="F262" s="6"/>
      <c r="G262" s="9"/>
    </row>
    <row r="263" spans="1:7" ht="14.25" customHeight="1">
      <c r="A263" s="4"/>
      <c r="B263" s="6"/>
      <c r="C263" s="6"/>
      <c r="D263" s="6"/>
      <c r="E263" s="6"/>
      <c r="F263" s="6"/>
      <c r="G263" s="9"/>
    </row>
    <row r="264" spans="1:7" ht="14.25" customHeight="1">
      <c r="A264" s="4"/>
      <c r="B264" s="6"/>
      <c r="C264" s="6"/>
      <c r="D264" s="6"/>
      <c r="E264" s="6"/>
      <c r="F264" s="6"/>
      <c r="G264" s="9"/>
    </row>
    <row r="265" spans="1:7" ht="14.25" customHeight="1">
      <c r="A265" s="4"/>
      <c r="B265" s="6"/>
      <c r="C265" s="6"/>
      <c r="D265" s="6"/>
      <c r="E265" s="6"/>
      <c r="F265" s="6"/>
      <c r="G265" s="9"/>
    </row>
    <row r="266" spans="1:7" ht="14.25" customHeight="1">
      <c r="A266" s="4"/>
      <c r="B266" s="6"/>
      <c r="C266" s="6"/>
      <c r="D266" s="6"/>
      <c r="E266" s="6"/>
      <c r="F266" s="6"/>
      <c r="G266" s="9"/>
    </row>
    <row r="267" spans="1:7" ht="14.25" customHeight="1">
      <c r="A267" s="4"/>
      <c r="B267" s="6"/>
      <c r="C267" s="6"/>
      <c r="D267" s="6"/>
      <c r="E267" s="6"/>
      <c r="F267" s="6"/>
      <c r="G267" s="9"/>
    </row>
    <row r="268" spans="1:7" ht="14.25" customHeight="1">
      <c r="A268" s="4"/>
      <c r="B268" s="6"/>
      <c r="C268" s="6"/>
      <c r="D268" s="6"/>
      <c r="E268" s="6"/>
      <c r="F268" s="6"/>
      <c r="G268" s="9"/>
    </row>
    <row r="269" spans="1:7" ht="14.25" customHeight="1">
      <c r="A269" s="4"/>
      <c r="B269" s="6"/>
      <c r="C269" s="6"/>
      <c r="D269" s="6"/>
      <c r="E269" s="6"/>
      <c r="F269" s="6"/>
      <c r="G269" s="9"/>
    </row>
    <row r="270" spans="1:7" ht="14.25" customHeight="1">
      <c r="A270" s="4"/>
      <c r="B270" s="6"/>
      <c r="C270" s="6"/>
      <c r="D270" s="6"/>
      <c r="E270" s="6"/>
      <c r="F270" s="6"/>
      <c r="G270" s="9"/>
    </row>
    <row r="271" spans="1:7" ht="14.25" customHeight="1">
      <c r="A271" s="4"/>
      <c r="B271" s="6"/>
      <c r="C271" s="6"/>
      <c r="D271" s="6"/>
      <c r="E271" s="6"/>
      <c r="F271" s="6"/>
      <c r="G271" s="9"/>
    </row>
    <row r="272" spans="1:7" ht="14.25" customHeight="1">
      <c r="A272" s="4"/>
      <c r="B272" s="6"/>
      <c r="C272" s="6"/>
      <c r="D272" s="6"/>
      <c r="E272" s="6"/>
      <c r="F272" s="6"/>
      <c r="G272" s="9"/>
    </row>
    <row r="273" spans="1:7" ht="14.25" customHeight="1">
      <c r="A273" s="4"/>
      <c r="B273" s="6"/>
      <c r="C273" s="6"/>
      <c r="D273" s="6"/>
      <c r="E273" s="6"/>
      <c r="F273" s="6"/>
      <c r="G273" s="9"/>
    </row>
    <row r="274" spans="1:7" ht="14.25" customHeight="1">
      <c r="A274" s="4"/>
      <c r="B274" s="6"/>
      <c r="C274" s="6"/>
      <c r="D274" s="6"/>
      <c r="E274" s="6"/>
      <c r="F274" s="6"/>
      <c r="G274" s="9"/>
    </row>
    <row r="275" spans="1:7" ht="14.25" customHeight="1">
      <c r="A275" s="4"/>
      <c r="B275" s="6"/>
      <c r="C275" s="6"/>
      <c r="D275" s="6"/>
      <c r="E275" s="6"/>
      <c r="F275" s="6"/>
      <c r="G275" s="9"/>
    </row>
    <row r="276" spans="1:7" ht="14.25" customHeight="1">
      <c r="A276" s="4"/>
      <c r="B276" s="6"/>
      <c r="C276" s="6"/>
      <c r="D276" s="6"/>
      <c r="E276" s="6"/>
      <c r="F276" s="6"/>
      <c r="G276" s="9"/>
    </row>
    <row r="277" spans="1:7" ht="14.25" customHeight="1">
      <c r="A277" s="4"/>
      <c r="B277" s="6"/>
      <c r="C277" s="6"/>
      <c r="D277" s="6"/>
      <c r="E277" s="6"/>
      <c r="F277" s="6"/>
      <c r="G277" s="9"/>
    </row>
    <row r="278" spans="1:7" ht="14.25" customHeight="1">
      <c r="A278" s="4"/>
      <c r="B278" s="6"/>
      <c r="C278" s="6"/>
      <c r="D278" s="6"/>
      <c r="E278" s="6"/>
      <c r="F278" s="6"/>
      <c r="G278" s="9"/>
    </row>
    <row r="279" spans="1:7" ht="14.25" customHeight="1">
      <c r="A279" s="4"/>
      <c r="B279" s="6"/>
      <c r="C279" s="6"/>
      <c r="D279" s="6"/>
      <c r="E279" s="6"/>
      <c r="F279" s="6"/>
      <c r="G279" s="9"/>
    </row>
    <row r="280" spans="1:7" ht="14.25" customHeight="1">
      <c r="A280" s="4"/>
      <c r="B280" s="6"/>
      <c r="C280" s="6"/>
      <c r="D280" s="6"/>
      <c r="E280" s="6"/>
      <c r="F280" s="6"/>
      <c r="G280" s="9"/>
    </row>
    <row r="281" spans="1:7" ht="14.25" customHeight="1">
      <c r="A281" s="4"/>
      <c r="B281" s="6"/>
      <c r="C281" s="6"/>
      <c r="D281" s="6"/>
      <c r="E281" s="6"/>
      <c r="F281" s="6"/>
      <c r="G281" s="9"/>
    </row>
    <row r="282" spans="1:7" ht="14.25" customHeight="1">
      <c r="A282" s="4"/>
      <c r="B282" s="6"/>
      <c r="C282" s="6"/>
      <c r="D282" s="6"/>
      <c r="E282" s="6"/>
      <c r="F282" s="6"/>
      <c r="G282" s="9"/>
    </row>
    <row r="283" spans="1:7" ht="14.25" customHeight="1">
      <c r="A283" s="4"/>
      <c r="B283" s="6"/>
      <c r="C283" s="6"/>
      <c r="D283" s="6"/>
      <c r="E283" s="6"/>
      <c r="F283" s="6"/>
      <c r="G283" s="9"/>
    </row>
    <row r="284" spans="1:7" ht="14.25" customHeight="1">
      <c r="A284" s="4"/>
      <c r="B284" s="6"/>
      <c r="C284" s="6"/>
      <c r="D284" s="6"/>
      <c r="E284" s="6"/>
      <c r="F284" s="6"/>
      <c r="G284" s="9"/>
    </row>
    <row r="285" spans="1:7" ht="14.25" customHeight="1">
      <c r="A285" s="4"/>
      <c r="B285" s="6"/>
      <c r="C285" s="6"/>
      <c r="D285" s="6"/>
      <c r="E285" s="6"/>
      <c r="F285" s="6"/>
      <c r="G285" s="9"/>
    </row>
    <row r="286" spans="1:7" ht="14.25" customHeight="1">
      <c r="A286" s="4"/>
      <c r="B286" s="6"/>
      <c r="C286" s="6"/>
      <c r="D286" s="6"/>
      <c r="E286" s="6"/>
      <c r="F286" s="6"/>
      <c r="G286" s="9"/>
    </row>
    <row r="287" spans="1:7" ht="14.25" customHeight="1">
      <c r="A287" s="4"/>
      <c r="B287" s="6"/>
      <c r="C287" s="6"/>
      <c r="D287" s="6"/>
      <c r="E287" s="6"/>
      <c r="F287" s="6"/>
      <c r="G287" s="9"/>
    </row>
    <row r="288" spans="1:7" ht="14.25" customHeight="1">
      <c r="A288" s="4"/>
      <c r="B288" s="6"/>
      <c r="C288" s="6"/>
      <c r="D288" s="6"/>
      <c r="E288" s="6"/>
      <c r="F288" s="6"/>
      <c r="G288" s="9"/>
    </row>
    <row r="289" spans="1:7" ht="14.25" customHeight="1">
      <c r="A289" s="4"/>
      <c r="B289" s="6"/>
      <c r="C289" s="6"/>
      <c r="D289" s="6"/>
      <c r="E289" s="6"/>
      <c r="F289" s="6"/>
      <c r="G289" s="9"/>
    </row>
    <row r="290" spans="1:7" ht="14.25" customHeight="1">
      <c r="A290" s="4"/>
      <c r="B290" s="6"/>
      <c r="C290" s="6"/>
      <c r="D290" s="6"/>
      <c r="E290" s="6"/>
      <c r="F290" s="6"/>
      <c r="G290" s="9"/>
    </row>
    <row r="291" spans="1:7" ht="14.25" customHeight="1">
      <c r="A291" s="4"/>
      <c r="B291" s="6"/>
      <c r="C291" s="6"/>
      <c r="D291" s="6"/>
      <c r="E291" s="6"/>
      <c r="F291" s="6"/>
      <c r="G291" s="9"/>
    </row>
    <row r="292" spans="1:7" ht="14.25" customHeight="1">
      <c r="A292" s="4"/>
      <c r="B292" s="6"/>
      <c r="C292" s="6"/>
      <c r="D292" s="6"/>
      <c r="E292" s="6"/>
      <c r="F292" s="6"/>
      <c r="G292" s="9"/>
    </row>
    <row r="293" spans="1:7" ht="14.25" customHeight="1">
      <c r="A293" s="4"/>
      <c r="B293" s="6"/>
      <c r="C293" s="6"/>
      <c r="D293" s="6"/>
      <c r="E293" s="6"/>
      <c r="F293" s="6"/>
      <c r="G293" s="9"/>
    </row>
    <row r="294" spans="1:7" ht="14.25" customHeight="1">
      <c r="A294" s="4"/>
      <c r="B294" s="6"/>
      <c r="C294" s="6"/>
      <c r="D294" s="6"/>
      <c r="E294" s="6"/>
      <c r="F294" s="6"/>
      <c r="G294" s="9"/>
    </row>
    <row r="295" spans="1:7" ht="14.25" customHeight="1">
      <c r="A295" s="4"/>
      <c r="B295" s="6"/>
      <c r="C295" s="6"/>
      <c r="D295" s="6"/>
      <c r="E295" s="6"/>
      <c r="F295" s="6"/>
      <c r="G295" s="9"/>
    </row>
    <row r="296" spans="1:7" ht="14.25" customHeight="1">
      <c r="A296" s="4"/>
      <c r="B296" s="6"/>
      <c r="C296" s="6"/>
      <c r="D296" s="6"/>
      <c r="E296" s="6"/>
      <c r="F296" s="6"/>
      <c r="G296" s="9"/>
    </row>
    <row r="297" spans="1:7" ht="14.25" customHeight="1">
      <c r="A297" s="4"/>
      <c r="B297" s="6"/>
      <c r="C297" s="6"/>
      <c r="D297" s="6"/>
      <c r="E297" s="6"/>
      <c r="F297" s="6"/>
      <c r="G297" s="9"/>
    </row>
    <row r="298" spans="1:7" ht="14.25" customHeight="1">
      <c r="A298" s="4"/>
      <c r="B298" s="6"/>
      <c r="C298" s="6"/>
      <c r="D298" s="6"/>
      <c r="E298" s="6"/>
      <c r="F298" s="6"/>
      <c r="G298" s="9"/>
    </row>
    <row r="299" spans="1:7" ht="14.25" customHeight="1">
      <c r="A299" s="4"/>
      <c r="B299" s="6"/>
      <c r="C299" s="6"/>
      <c r="D299" s="6"/>
      <c r="E299" s="6"/>
      <c r="F299" s="6"/>
      <c r="G299" s="9"/>
    </row>
    <row r="300" spans="1:7" ht="14.25" customHeight="1">
      <c r="A300" s="4"/>
      <c r="B300" s="6"/>
      <c r="C300" s="6"/>
      <c r="D300" s="6"/>
      <c r="E300" s="6"/>
      <c r="F300" s="6"/>
      <c r="G300" s="9"/>
    </row>
    <row r="301" spans="1:7" ht="14.25" customHeight="1">
      <c r="A301" s="4"/>
      <c r="B301" s="6"/>
      <c r="C301" s="6"/>
      <c r="D301" s="6"/>
      <c r="E301" s="6"/>
      <c r="F301" s="6"/>
      <c r="G301" s="9"/>
    </row>
    <row r="302" spans="1:7" ht="14.25" customHeight="1">
      <c r="A302" s="4"/>
      <c r="B302" s="6"/>
      <c r="C302" s="6"/>
      <c r="D302" s="6"/>
      <c r="E302" s="6"/>
      <c r="F302" s="6"/>
      <c r="G302" s="9"/>
    </row>
    <row r="303" spans="1:7" ht="14.25" customHeight="1">
      <c r="A303" s="4"/>
      <c r="B303" s="6"/>
      <c r="C303" s="6"/>
      <c r="D303" s="6"/>
      <c r="E303" s="6"/>
      <c r="F303" s="6"/>
      <c r="G303" s="9"/>
    </row>
    <row r="304" spans="1:7" ht="14.25" customHeight="1">
      <c r="A304" s="4"/>
      <c r="B304" s="6"/>
      <c r="C304" s="6"/>
      <c r="D304" s="6"/>
      <c r="E304" s="6"/>
      <c r="F304" s="6"/>
      <c r="G304" s="9"/>
    </row>
    <row r="305" spans="1:7" ht="14.25" customHeight="1">
      <c r="A305" s="4"/>
      <c r="B305" s="6"/>
      <c r="C305" s="6"/>
      <c r="D305" s="6"/>
      <c r="E305" s="6"/>
      <c r="F305" s="6"/>
      <c r="G305" s="9"/>
    </row>
    <row r="306" spans="1:7" ht="14.25" customHeight="1">
      <c r="A306" s="4"/>
      <c r="B306" s="6"/>
      <c r="C306" s="6"/>
      <c r="D306" s="6"/>
      <c r="E306" s="6"/>
      <c r="F306" s="6"/>
      <c r="G306" s="9"/>
    </row>
    <row r="307" spans="1:7" ht="14.25" customHeight="1">
      <c r="A307" s="4"/>
      <c r="B307" s="6"/>
      <c r="C307" s="6"/>
      <c r="D307" s="6"/>
      <c r="E307" s="6"/>
      <c r="F307" s="6"/>
      <c r="G307" s="9"/>
    </row>
    <row r="308" spans="1:7" ht="14.25" customHeight="1">
      <c r="A308" s="4"/>
      <c r="B308" s="6"/>
      <c r="C308" s="6"/>
      <c r="D308" s="6"/>
      <c r="E308" s="6"/>
      <c r="F308" s="6"/>
      <c r="G308" s="9"/>
    </row>
    <row r="309" spans="1:7" ht="14.25" customHeight="1">
      <c r="A309" s="4"/>
      <c r="B309" s="6"/>
      <c r="C309" s="6"/>
      <c r="D309" s="6"/>
      <c r="E309" s="6"/>
      <c r="F309" s="6"/>
      <c r="G309" s="9"/>
    </row>
    <row r="310" spans="1:7" ht="14.25" customHeight="1">
      <c r="A310" s="4"/>
      <c r="B310" s="6"/>
      <c r="C310" s="6"/>
      <c r="D310" s="6"/>
      <c r="E310" s="6"/>
      <c r="F310" s="6"/>
      <c r="G310" s="9"/>
    </row>
    <row r="311" spans="1:7" ht="14.25" customHeight="1">
      <c r="A311" s="4"/>
      <c r="B311" s="6"/>
      <c r="C311" s="6"/>
      <c r="D311" s="6"/>
      <c r="E311" s="6"/>
      <c r="F311" s="6"/>
      <c r="G311" s="9"/>
    </row>
    <row r="312" spans="1:7" ht="14.25" customHeight="1">
      <c r="A312" s="4"/>
      <c r="B312" s="6"/>
      <c r="C312" s="6"/>
      <c r="D312" s="6"/>
      <c r="E312" s="6"/>
      <c r="F312" s="6"/>
      <c r="G312" s="9"/>
    </row>
    <row r="313" spans="1:7" ht="14.25" customHeight="1">
      <c r="A313" s="4"/>
      <c r="B313" s="6"/>
      <c r="C313" s="6"/>
      <c r="D313" s="6"/>
      <c r="E313" s="6"/>
      <c r="F313" s="6"/>
      <c r="G313" s="9"/>
    </row>
    <row r="314" spans="1:7" ht="14.25" customHeight="1">
      <c r="A314" s="4"/>
      <c r="B314" s="6"/>
      <c r="C314" s="6"/>
      <c r="D314" s="6"/>
      <c r="E314" s="6"/>
      <c r="F314" s="6"/>
      <c r="G314" s="9"/>
    </row>
    <row r="315" spans="1:7" ht="14.25" customHeight="1">
      <c r="A315" s="4"/>
      <c r="B315" s="6"/>
      <c r="C315" s="6"/>
      <c r="D315" s="6"/>
      <c r="E315" s="6"/>
      <c r="F315" s="6"/>
      <c r="G315" s="9"/>
    </row>
    <row r="316" spans="1:7" ht="14.25" customHeight="1">
      <c r="A316" s="4"/>
      <c r="B316" s="6"/>
      <c r="C316" s="6"/>
      <c r="D316" s="6"/>
      <c r="E316" s="6"/>
      <c r="F316" s="6"/>
      <c r="G316" s="9"/>
    </row>
    <row r="317" spans="1:7" ht="14.25" customHeight="1">
      <c r="A317" s="4"/>
      <c r="B317" s="6"/>
      <c r="C317" s="6"/>
      <c r="D317" s="6"/>
      <c r="E317" s="6"/>
      <c r="F317" s="6"/>
      <c r="G317" s="9"/>
    </row>
    <row r="318" spans="1:7" ht="14.25" customHeight="1">
      <c r="A318" s="4"/>
      <c r="B318" s="6"/>
      <c r="C318" s="6"/>
      <c r="D318" s="6"/>
      <c r="E318" s="6"/>
      <c r="F318" s="6"/>
      <c r="G318" s="9"/>
    </row>
    <row r="319" spans="1:7" ht="14.25" customHeight="1">
      <c r="A319" s="4"/>
      <c r="B319" s="6"/>
      <c r="C319" s="6"/>
      <c r="D319" s="6"/>
      <c r="E319" s="6"/>
      <c r="F319" s="6"/>
      <c r="G319" s="9"/>
    </row>
    <row r="320" spans="1:7" ht="14.25" customHeight="1">
      <c r="A320" s="4"/>
      <c r="B320" s="6"/>
      <c r="C320" s="6"/>
      <c r="D320" s="6"/>
      <c r="E320" s="6"/>
      <c r="F320" s="6"/>
      <c r="G320" s="9"/>
    </row>
    <row r="321" spans="1:7" ht="14.25" customHeight="1">
      <c r="A321" s="4"/>
      <c r="B321" s="6"/>
      <c r="C321" s="6"/>
      <c r="D321" s="6"/>
      <c r="E321" s="6"/>
      <c r="F321" s="6"/>
      <c r="G321" s="9"/>
    </row>
    <row r="322" spans="1:7" ht="14.25" customHeight="1">
      <c r="A322" s="4"/>
      <c r="B322" s="6"/>
      <c r="C322" s="6"/>
      <c r="D322" s="6"/>
      <c r="E322" s="6"/>
      <c r="F322" s="6"/>
      <c r="G322" s="9"/>
    </row>
    <row r="323" spans="1:7" ht="14.25" customHeight="1">
      <c r="A323" s="4"/>
      <c r="B323" s="6"/>
      <c r="C323" s="6"/>
      <c r="D323" s="6"/>
      <c r="E323" s="6"/>
      <c r="F323" s="6"/>
      <c r="G323" s="9"/>
    </row>
    <row r="324" spans="1:7" ht="14.25" customHeight="1">
      <c r="A324" s="4"/>
      <c r="B324" s="6"/>
      <c r="C324" s="6"/>
      <c r="D324" s="6"/>
      <c r="E324" s="6"/>
      <c r="F324" s="6"/>
      <c r="G324" s="9"/>
    </row>
    <row r="325" spans="1:7" ht="14.25" customHeight="1">
      <c r="A325" s="4"/>
      <c r="B325" s="6"/>
      <c r="C325" s="6"/>
      <c r="D325" s="6"/>
      <c r="E325" s="6"/>
      <c r="F325" s="6"/>
      <c r="G325" s="9"/>
    </row>
    <row r="326" spans="1:7" ht="14.25" customHeight="1">
      <c r="A326" s="4"/>
      <c r="B326" s="6"/>
      <c r="C326" s="6"/>
      <c r="D326" s="6"/>
      <c r="E326" s="6"/>
      <c r="F326" s="6"/>
      <c r="G326" s="9"/>
    </row>
    <row r="327" spans="1:7" ht="14.25" customHeight="1">
      <c r="A327" s="4"/>
      <c r="B327" s="6"/>
      <c r="C327" s="6"/>
      <c r="D327" s="6"/>
      <c r="E327" s="6"/>
      <c r="F327" s="6"/>
      <c r="G327" s="9"/>
    </row>
    <row r="328" spans="1:7" ht="14.25" customHeight="1">
      <c r="A328" s="4"/>
      <c r="B328" s="6"/>
      <c r="C328" s="6"/>
      <c r="D328" s="6"/>
      <c r="E328" s="6"/>
      <c r="F328" s="6"/>
      <c r="G328" s="9"/>
    </row>
    <row r="329" spans="1:7" ht="14.25" customHeight="1">
      <c r="A329" s="4"/>
      <c r="B329" s="6"/>
      <c r="C329" s="6"/>
      <c r="D329" s="6"/>
      <c r="E329" s="6"/>
      <c r="F329" s="6"/>
      <c r="G329" s="9"/>
    </row>
    <row r="330" spans="1:7" ht="14.25" customHeight="1">
      <c r="A330" s="4"/>
      <c r="B330" s="6"/>
      <c r="C330" s="6"/>
      <c r="D330" s="6"/>
      <c r="E330" s="6"/>
      <c r="F330" s="6"/>
      <c r="G330" s="9"/>
    </row>
    <row r="331" spans="1:7" ht="14.25" customHeight="1">
      <c r="A331" s="4"/>
      <c r="B331" s="6"/>
      <c r="C331" s="6"/>
      <c r="D331" s="6"/>
      <c r="E331" s="6"/>
      <c r="F331" s="6"/>
      <c r="G331" s="9"/>
    </row>
    <row r="332" spans="1:7" ht="14.25" customHeight="1">
      <c r="A332" s="4"/>
      <c r="B332" s="6"/>
      <c r="C332" s="6"/>
      <c r="D332" s="6"/>
      <c r="E332" s="6"/>
      <c r="F332" s="6"/>
      <c r="G332" s="9"/>
    </row>
    <row r="333" spans="1:7" ht="14.25" customHeight="1">
      <c r="A333" s="4"/>
      <c r="B333" s="6"/>
      <c r="C333" s="6"/>
      <c r="D333" s="6"/>
      <c r="E333" s="6"/>
      <c r="F333" s="6"/>
      <c r="G333" s="9"/>
    </row>
    <row r="334" spans="1:7" ht="14.25" customHeight="1">
      <c r="A334" s="4"/>
      <c r="B334" s="6"/>
      <c r="C334" s="6"/>
      <c r="D334" s="6"/>
      <c r="E334" s="6"/>
      <c r="F334" s="6"/>
      <c r="G334" s="9"/>
    </row>
    <row r="335" spans="1:7" ht="14.25" customHeight="1">
      <c r="A335" s="4"/>
      <c r="B335" s="6"/>
      <c r="C335" s="6"/>
      <c r="D335" s="6"/>
      <c r="E335" s="6"/>
      <c r="F335" s="6"/>
      <c r="G335" s="9"/>
    </row>
    <row r="336" spans="1:7" ht="14.25" customHeight="1">
      <c r="A336" s="4"/>
      <c r="B336" s="6"/>
      <c r="C336" s="6"/>
      <c r="D336" s="6"/>
      <c r="E336" s="6"/>
      <c r="F336" s="6"/>
      <c r="G336" s="9"/>
    </row>
    <row r="337" spans="1:7" ht="14.25" customHeight="1">
      <c r="A337" s="4"/>
      <c r="B337" s="6"/>
      <c r="C337" s="6"/>
      <c r="D337" s="6"/>
      <c r="E337" s="6"/>
      <c r="F337" s="6"/>
      <c r="G337" s="9"/>
    </row>
    <row r="338" spans="1:7" ht="14.25" customHeight="1">
      <c r="A338" s="4"/>
      <c r="B338" s="6"/>
      <c r="C338" s="6"/>
      <c r="D338" s="6"/>
      <c r="E338" s="6"/>
      <c r="F338" s="6"/>
      <c r="G338" s="9"/>
    </row>
    <row r="339" spans="1:7" ht="14.25" customHeight="1">
      <c r="A339" s="4"/>
      <c r="B339" s="6"/>
      <c r="C339" s="6"/>
      <c r="D339" s="6"/>
      <c r="E339" s="6"/>
      <c r="F339" s="6"/>
      <c r="G339" s="9"/>
    </row>
    <row r="340" spans="1:7" ht="14.25" customHeight="1">
      <c r="A340" s="4"/>
      <c r="B340" s="6"/>
      <c r="C340" s="6"/>
      <c r="D340" s="6"/>
      <c r="E340" s="6"/>
      <c r="F340" s="6"/>
      <c r="G340" s="9"/>
    </row>
    <row r="341" spans="1:7" ht="14.25" customHeight="1">
      <c r="A341" s="4"/>
      <c r="B341" s="6"/>
      <c r="C341" s="6"/>
      <c r="D341" s="6"/>
      <c r="E341" s="6"/>
      <c r="F341" s="6"/>
      <c r="G341" s="9"/>
    </row>
    <row r="342" spans="1:7" ht="14.25" customHeight="1">
      <c r="A342" s="4"/>
      <c r="B342" s="6"/>
      <c r="C342" s="6"/>
      <c r="D342" s="6"/>
      <c r="E342" s="6"/>
      <c r="F342" s="6"/>
      <c r="G342" s="9"/>
    </row>
    <row r="343" spans="1:7" ht="14.25" customHeight="1">
      <c r="A343" s="4"/>
      <c r="B343" s="6"/>
      <c r="C343" s="6"/>
      <c r="D343" s="6"/>
      <c r="E343" s="6"/>
      <c r="F343" s="6"/>
      <c r="G343" s="9"/>
    </row>
    <row r="344" spans="1:7" ht="14.25" customHeight="1">
      <c r="A344" s="4"/>
      <c r="B344" s="6"/>
      <c r="C344" s="6"/>
      <c r="D344" s="6"/>
      <c r="E344" s="6"/>
      <c r="F344" s="6"/>
      <c r="G344" s="9"/>
    </row>
    <row r="345" spans="1:7" ht="14.25" customHeight="1">
      <c r="A345" s="4"/>
      <c r="B345" s="6"/>
      <c r="C345" s="6"/>
      <c r="D345" s="6"/>
      <c r="E345" s="6"/>
      <c r="F345" s="6"/>
      <c r="G345" s="9"/>
    </row>
    <row r="346" spans="1:7" ht="14.25" customHeight="1">
      <c r="A346" s="4"/>
      <c r="B346" s="6"/>
      <c r="C346" s="6"/>
      <c r="D346" s="6"/>
      <c r="E346" s="6"/>
      <c r="F346" s="6"/>
      <c r="G346" s="9"/>
    </row>
    <row r="347" spans="1:7" ht="14.25" customHeight="1">
      <c r="A347" s="4"/>
      <c r="B347" s="6"/>
      <c r="C347" s="6"/>
      <c r="D347" s="6"/>
      <c r="E347" s="6"/>
      <c r="F347" s="6"/>
      <c r="G347" s="9"/>
    </row>
    <row r="348" spans="1:7" ht="14.25" customHeight="1">
      <c r="A348" s="4"/>
      <c r="B348" s="6"/>
      <c r="C348" s="6"/>
      <c r="D348" s="6"/>
      <c r="E348" s="6"/>
      <c r="F348" s="6"/>
      <c r="G348" s="9"/>
    </row>
    <row r="349" spans="1:7" ht="14.25" customHeight="1">
      <c r="A349" s="4"/>
      <c r="B349" s="6"/>
      <c r="C349" s="6"/>
      <c r="D349" s="6"/>
      <c r="E349" s="6"/>
      <c r="F349" s="6"/>
      <c r="G349" s="9"/>
    </row>
    <row r="350" spans="1:7" ht="14.25" customHeight="1">
      <c r="A350" s="4"/>
      <c r="B350" s="6"/>
      <c r="C350" s="6"/>
      <c r="D350" s="6"/>
      <c r="E350" s="6"/>
      <c r="F350" s="6"/>
      <c r="G350" s="9"/>
    </row>
    <row r="351" spans="1:7" ht="14.25" customHeight="1">
      <c r="A351" s="4"/>
      <c r="B351" s="6"/>
      <c r="C351" s="6"/>
      <c r="D351" s="6"/>
      <c r="E351" s="6"/>
      <c r="F351" s="6"/>
      <c r="G351" s="9"/>
    </row>
    <row r="352" spans="1:7" ht="14.25" customHeight="1">
      <c r="A352" s="4"/>
      <c r="B352" s="6"/>
      <c r="C352" s="6"/>
      <c r="D352" s="6"/>
      <c r="E352" s="6"/>
      <c r="F352" s="6"/>
      <c r="G352" s="9"/>
    </row>
    <row r="353" spans="1:7" ht="14.25" customHeight="1">
      <c r="A353" s="4"/>
      <c r="B353" s="6"/>
      <c r="C353" s="6"/>
      <c r="D353" s="6"/>
      <c r="E353" s="6"/>
      <c r="F353" s="6"/>
      <c r="G353" s="9"/>
    </row>
    <row r="354" spans="1:7" ht="14.25" customHeight="1">
      <c r="A354" s="4"/>
      <c r="B354" s="6"/>
      <c r="C354" s="6"/>
      <c r="D354" s="6"/>
      <c r="E354" s="6"/>
      <c r="F354" s="6"/>
      <c r="G354" s="9"/>
    </row>
    <row r="355" spans="1:7" ht="14.25" customHeight="1">
      <c r="A355" s="4"/>
      <c r="B355" s="6"/>
      <c r="C355" s="6"/>
      <c r="D355" s="6"/>
      <c r="E355" s="6"/>
      <c r="F355" s="6"/>
      <c r="G355" s="9"/>
    </row>
    <row r="356" spans="1:7" ht="14.25" customHeight="1">
      <c r="A356" s="4"/>
      <c r="B356" s="6"/>
      <c r="C356" s="6"/>
      <c r="D356" s="6"/>
      <c r="E356" s="6"/>
      <c r="F356" s="6"/>
      <c r="G356" s="9"/>
    </row>
    <row r="357" spans="1:7" ht="14.25" customHeight="1">
      <c r="A357" s="4"/>
      <c r="B357" s="6"/>
      <c r="C357" s="6"/>
      <c r="D357" s="6"/>
      <c r="E357" s="6"/>
      <c r="F357" s="6"/>
      <c r="G357" s="9"/>
    </row>
    <row r="358" spans="1:7" ht="14.25" customHeight="1">
      <c r="A358" s="4"/>
      <c r="B358" s="6"/>
      <c r="C358" s="6"/>
      <c r="D358" s="6"/>
      <c r="E358" s="6"/>
      <c r="F358" s="6"/>
      <c r="G358" s="9"/>
    </row>
    <row r="359" spans="1:7" ht="14.25" customHeight="1">
      <c r="A359" s="4"/>
      <c r="B359" s="6"/>
      <c r="C359" s="6"/>
      <c r="D359" s="6"/>
      <c r="E359" s="6"/>
      <c r="F359" s="6"/>
      <c r="G359" s="9"/>
    </row>
    <row r="360" spans="1:7" ht="14.25" customHeight="1">
      <c r="A360" s="4"/>
      <c r="B360" s="6"/>
      <c r="C360" s="6"/>
      <c r="D360" s="6"/>
      <c r="E360" s="6"/>
      <c r="F360" s="6"/>
      <c r="G360" s="9"/>
    </row>
    <row r="361" spans="1:7" ht="14.25" customHeight="1">
      <c r="A361" s="4"/>
      <c r="B361" s="6"/>
      <c r="C361" s="6"/>
      <c r="D361" s="6"/>
      <c r="E361" s="6"/>
      <c r="F361" s="6"/>
      <c r="G361" s="9"/>
    </row>
    <row r="362" spans="1:7" ht="14.25" customHeight="1">
      <c r="A362" s="4"/>
      <c r="B362" s="6"/>
      <c r="C362" s="6"/>
      <c r="D362" s="6"/>
      <c r="E362" s="6"/>
      <c r="F362" s="6"/>
      <c r="G362" s="9"/>
    </row>
    <row r="363" spans="1:7" ht="14.25" customHeight="1">
      <c r="A363" s="4"/>
      <c r="B363" s="6"/>
      <c r="C363" s="6"/>
      <c r="D363" s="6"/>
      <c r="E363" s="6"/>
      <c r="F363" s="6"/>
      <c r="G363" s="9"/>
    </row>
    <row r="364" spans="1:7" ht="14.25" customHeight="1">
      <c r="A364" s="4"/>
      <c r="B364" s="6"/>
      <c r="C364" s="6"/>
      <c r="D364" s="6"/>
      <c r="E364" s="6"/>
      <c r="F364" s="6"/>
      <c r="G364" s="9"/>
    </row>
    <row r="365" spans="1:7" ht="14.25" customHeight="1">
      <c r="A365" s="4"/>
      <c r="B365" s="6"/>
      <c r="C365" s="6"/>
      <c r="D365" s="6"/>
      <c r="E365" s="6"/>
      <c r="F365" s="6"/>
      <c r="G365" s="9"/>
    </row>
    <row r="366" spans="1:7" ht="14.25" customHeight="1">
      <c r="A366" s="4"/>
      <c r="B366" s="6"/>
      <c r="C366" s="6"/>
      <c r="D366" s="6"/>
      <c r="E366" s="6"/>
      <c r="F366" s="6"/>
      <c r="G366" s="9"/>
    </row>
    <row r="367" spans="1:7" ht="14.25" customHeight="1">
      <c r="A367" s="4"/>
      <c r="B367" s="6"/>
      <c r="C367" s="6"/>
      <c r="D367" s="6"/>
      <c r="E367" s="6"/>
      <c r="F367" s="6"/>
      <c r="G367" s="9"/>
    </row>
    <row r="368" spans="1:7" ht="14.25" customHeight="1">
      <c r="A368" s="4"/>
      <c r="B368" s="6"/>
      <c r="C368" s="6"/>
      <c r="D368" s="6"/>
      <c r="E368" s="6"/>
      <c r="F368" s="6"/>
      <c r="G368" s="9"/>
    </row>
    <row r="369" spans="1:7" ht="14.25" customHeight="1">
      <c r="A369" s="4"/>
      <c r="B369" s="6"/>
      <c r="C369" s="6"/>
      <c r="D369" s="6"/>
      <c r="E369" s="6"/>
      <c r="F369" s="6"/>
      <c r="G369" s="9"/>
    </row>
    <row r="370" spans="1:7" ht="14.25" customHeight="1">
      <c r="A370" s="4"/>
      <c r="B370" s="6"/>
      <c r="C370" s="6"/>
      <c r="D370" s="6"/>
      <c r="E370" s="6"/>
      <c r="F370" s="6"/>
      <c r="G370" s="9"/>
    </row>
    <row r="371" spans="1:7" ht="14.25" customHeight="1">
      <c r="A371" s="4"/>
      <c r="B371" s="6"/>
      <c r="C371" s="6"/>
      <c r="D371" s="6"/>
      <c r="E371" s="6"/>
      <c r="F371" s="6"/>
      <c r="G371" s="9"/>
    </row>
    <row r="372" spans="1:7" ht="14.25" customHeight="1">
      <c r="A372" s="4"/>
      <c r="B372" s="6"/>
      <c r="C372" s="6"/>
      <c r="D372" s="6"/>
      <c r="E372" s="6"/>
      <c r="F372" s="6"/>
      <c r="G372" s="9"/>
    </row>
    <row r="373" spans="1:7" ht="14.25" customHeight="1">
      <c r="A373" s="4"/>
      <c r="B373" s="6"/>
      <c r="C373" s="6"/>
      <c r="D373" s="6"/>
      <c r="E373" s="6"/>
      <c r="F373" s="6"/>
      <c r="G373" s="9"/>
    </row>
    <row r="374" spans="1:7" ht="14.25" customHeight="1">
      <c r="A374" s="4"/>
      <c r="B374" s="6"/>
      <c r="C374" s="6"/>
      <c r="D374" s="6"/>
      <c r="E374" s="6"/>
      <c r="F374" s="6"/>
      <c r="G374" s="9"/>
    </row>
    <row r="375" spans="1:7" ht="14.25" customHeight="1">
      <c r="A375" s="4"/>
      <c r="B375" s="6"/>
      <c r="C375" s="6"/>
      <c r="D375" s="6"/>
      <c r="E375" s="6"/>
      <c r="F375" s="6"/>
      <c r="G375" s="9"/>
    </row>
    <row r="376" spans="1:7" ht="14.25" customHeight="1">
      <c r="A376" s="4"/>
      <c r="B376" s="6"/>
      <c r="C376" s="6"/>
      <c r="D376" s="6"/>
      <c r="E376" s="6"/>
      <c r="F376" s="6"/>
      <c r="G376" s="9"/>
    </row>
    <row r="377" spans="1:7" ht="14.25" customHeight="1">
      <c r="A377" s="4"/>
      <c r="B377" s="6"/>
      <c r="C377" s="6"/>
      <c r="D377" s="6"/>
      <c r="E377" s="6"/>
      <c r="F377" s="6"/>
      <c r="G377" s="9"/>
    </row>
    <row r="378" spans="1:7" ht="14.25" customHeight="1">
      <c r="A378" s="4"/>
      <c r="B378" s="6"/>
      <c r="C378" s="6"/>
      <c r="D378" s="6"/>
      <c r="E378" s="6"/>
      <c r="F378" s="6"/>
      <c r="G378" s="9"/>
    </row>
    <row r="379" spans="1:7" ht="14.25" customHeight="1">
      <c r="A379" s="4"/>
      <c r="B379" s="6"/>
      <c r="C379" s="6"/>
      <c r="D379" s="6"/>
      <c r="E379" s="6"/>
      <c r="F379" s="6"/>
      <c r="G379" s="9"/>
    </row>
    <row r="380" spans="1:7" ht="14.25" customHeight="1">
      <c r="A380" s="4"/>
      <c r="B380" s="6"/>
      <c r="C380" s="6"/>
      <c r="D380" s="6"/>
      <c r="E380" s="6"/>
      <c r="F380" s="6"/>
      <c r="G380" s="9"/>
    </row>
    <row r="381" spans="1:7" ht="14.25" customHeight="1">
      <c r="A381" s="4"/>
      <c r="B381" s="6"/>
      <c r="C381" s="6"/>
      <c r="D381" s="6"/>
      <c r="E381" s="6"/>
      <c r="F381" s="6"/>
      <c r="G381" s="9"/>
    </row>
    <row r="382" spans="1:7" ht="14.25" customHeight="1">
      <c r="A382" s="4"/>
      <c r="B382" s="6"/>
      <c r="C382" s="6"/>
      <c r="D382" s="6"/>
      <c r="E382" s="6"/>
      <c r="F382" s="6"/>
      <c r="G382" s="9"/>
    </row>
    <row r="383" spans="1:7" ht="14.25" customHeight="1">
      <c r="A383" s="4"/>
      <c r="B383" s="6"/>
      <c r="C383" s="6"/>
      <c r="D383" s="6"/>
      <c r="E383" s="6"/>
      <c r="F383" s="6"/>
      <c r="G383" s="9"/>
    </row>
    <row r="384" spans="1:7" ht="14.25" customHeight="1">
      <c r="A384" s="4"/>
      <c r="B384" s="6"/>
      <c r="C384" s="6"/>
      <c r="D384" s="6"/>
      <c r="E384" s="6"/>
      <c r="F384" s="6"/>
      <c r="G384" s="9"/>
    </row>
    <row r="385" spans="1:7" ht="14.25" customHeight="1">
      <c r="A385" s="4"/>
      <c r="B385" s="6"/>
      <c r="C385" s="6"/>
      <c r="D385" s="6"/>
      <c r="E385" s="6"/>
      <c r="F385" s="6"/>
      <c r="G385" s="9"/>
    </row>
    <row r="386" spans="1:7" ht="14.25" customHeight="1">
      <c r="A386" s="4"/>
      <c r="B386" s="6"/>
      <c r="C386" s="6"/>
      <c r="D386" s="6"/>
      <c r="E386" s="6"/>
      <c r="F386" s="6"/>
      <c r="G386" s="9"/>
    </row>
    <row r="387" spans="1:7" ht="14.25" customHeight="1">
      <c r="A387" s="4"/>
      <c r="B387" s="6"/>
      <c r="C387" s="6"/>
      <c r="D387" s="6"/>
      <c r="E387" s="6"/>
      <c r="F387" s="6"/>
      <c r="G387" s="9"/>
    </row>
    <row r="388" spans="1:7" ht="14.25" customHeight="1">
      <c r="A388" s="4"/>
      <c r="B388" s="6"/>
      <c r="C388" s="6"/>
      <c r="D388" s="6"/>
      <c r="E388" s="6"/>
      <c r="F388" s="6"/>
      <c r="G388" s="9"/>
    </row>
    <row r="389" spans="1:7" ht="14.25" customHeight="1">
      <c r="A389" s="4"/>
      <c r="B389" s="6"/>
      <c r="C389" s="6"/>
      <c r="D389" s="6"/>
      <c r="E389" s="6"/>
      <c r="F389" s="6"/>
      <c r="G389" s="9"/>
    </row>
    <row r="390" spans="1:7" ht="14.25" customHeight="1">
      <c r="A390" s="4"/>
      <c r="B390" s="6"/>
      <c r="C390" s="6"/>
      <c r="D390" s="6"/>
      <c r="E390" s="6"/>
      <c r="F390" s="6"/>
      <c r="G390" s="9"/>
    </row>
    <row r="391" spans="1:7" ht="14.25" customHeight="1">
      <c r="A391" s="4"/>
      <c r="B391" s="6"/>
      <c r="C391" s="6"/>
      <c r="D391" s="6"/>
      <c r="E391" s="6"/>
      <c r="F391" s="6"/>
      <c r="G391" s="9"/>
    </row>
    <row r="392" spans="1:7" ht="14.25" customHeight="1">
      <c r="A392" s="4"/>
      <c r="B392" s="6"/>
      <c r="C392" s="6"/>
      <c r="D392" s="6"/>
      <c r="E392" s="6"/>
      <c r="F392" s="6"/>
      <c r="G392" s="9"/>
    </row>
    <row r="393" spans="1:7" ht="14.25" customHeight="1">
      <c r="A393" s="4"/>
      <c r="B393" s="6"/>
      <c r="C393" s="6"/>
      <c r="D393" s="6"/>
      <c r="E393" s="6"/>
      <c r="F393" s="6"/>
      <c r="G393" s="9"/>
    </row>
    <row r="394" spans="1:7" ht="14.25" customHeight="1">
      <c r="A394" s="4"/>
      <c r="B394" s="6"/>
      <c r="C394" s="6"/>
      <c r="D394" s="6"/>
      <c r="E394" s="6"/>
      <c r="F394" s="6"/>
      <c r="G394" s="9"/>
    </row>
    <row r="395" spans="1:7" ht="14.25" customHeight="1">
      <c r="A395" s="4"/>
      <c r="B395" s="6"/>
      <c r="C395" s="6"/>
      <c r="D395" s="6"/>
      <c r="E395" s="6"/>
      <c r="F395" s="6"/>
      <c r="G395" s="9"/>
    </row>
    <row r="396" spans="1:7" ht="14.25" customHeight="1">
      <c r="A396" s="4"/>
      <c r="B396" s="6"/>
      <c r="C396" s="6"/>
      <c r="D396" s="6"/>
      <c r="E396" s="6"/>
      <c r="F396" s="6"/>
      <c r="G396" s="9"/>
    </row>
    <row r="397" spans="1:7" ht="14.25" customHeight="1">
      <c r="A397" s="4"/>
      <c r="B397" s="6"/>
      <c r="C397" s="6"/>
      <c r="D397" s="6"/>
      <c r="E397" s="6"/>
      <c r="F397" s="6"/>
      <c r="G397" s="9"/>
    </row>
    <row r="398" spans="1:7" ht="14.25" customHeight="1">
      <c r="A398" s="4"/>
      <c r="B398" s="6"/>
      <c r="C398" s="6"/>
      <c r="D398" s="6"/>
      <c r="E398" s="6"/>
      <c r="F398" s="6"/>
      <c r="G398" s="9"/>
    </row>
    <row r="399" spans="1:7" ht="14.25" customHeight="1">
      <c r="A399" s="4"/>
      <c r="B399" s="6"/>
      <c r="C399" s="6"/>
      <c r="D399" s="6"/>
      <c r="E399" s="6"/>
      <c r="F399" s="6"/>
      <c r="G399" s="9"/>
    </row>
    <row r="400" spans="1:7" ht="14.25" customHeight="1">
      <c r="A400" s="4"/>
      <c r="B400" s="6"/>
      <c r="C400" s="6"/>
      <c r="D400" s="6"/>
      <c r="E400" s="6"/>
      <c r="F400" s="6"/>
      <c r="G400" s="9"/>
    </row>
    <row r="401" spans="1:7" ht="14.25" customHeight="1">
      <c r="A401" s="4"/>
      <c r="B401" s="6"/>
      <c r="C401" s="6"/>
      <c r="D401" s="6"/>
      <c r="E401" s="6"/>
      <c r="F401" s="6"/>
      <c r="G401" s="9"/>
    </row>
    <row r="402" spans="1:7" ht="14.25" customHeight="1">
      <c r="A402" s="4"/>
      <c r="B402" s="6"/>
      <c r="C402" s="6"/>
      <c r="D402" s="6"/>
      <c r="E402" s="6"/>
      <c r="F402" s="6"/>
      <c r="G402" s="9"/>
    </row>
    <row r="403" spans="1:7" ht="14.25" customHeight="1">
      <c r="A403" s="4"/>
      <c r="B403" s="6"/>
      <c r="C403" s="6"/>
      <c r="D403" s="6"/>
      <c r="E403" s="6"/>
      <c r="F403" s="6"/>
      <c r="G403" s="9"/>
    </row>
    <row r="404" spans="1:7" ht="14.25" customHeight="1">
      <c r="A404" s="4"/>
      <c r="B404" s="6"/>
      <c r="C404" s="6"/>
      <c r="D404" s="6"/>
      <c r="E404" s="6"/>
      <c r="F404" s="6"/>
      <c r="G404" s="9"/>
    </row>
    <row r="405" spans="1:7" ht="14.25" customHeight="1">
      <c r="A405" s="4"/>
      <c r="B405" s="6"/>
      <c r="C405" s="6"/>
      <c r="D405" s="6"/>
      <c r="E405" s="6"/>
      <c r="F405" s="6"/>
      <c r="G405" s="9"/>
    </row>
    <row r="406" spans="1:7" ht="14.25" customHeight="1">
      <c r="A406" s="4"/>
      <c r="B406" s="6"/>
      <c r="C406" s="6"/>
      <c r="D406" s="6"/>
      <c r="E406" s="6"/>
      <c r="F406" s="6"/>
      <c r="G406" s="9"/>
    </row>
    <row r="407" spans="1:7" ht="14.25" customHeight="1">
      <c r="A407" s="4"/>
      <c r="B407" s="6"/>
      <c r="C407" s="6"/>
      <c r="D407" s="6"/>
      <c r="E407" s="6"/>
      <c r="F407" s="6"/>
      <c r="G407" s="9"/>
    </row>
    <row r="408" spans="1:7" ht="14.25" customHeight="1">
      <c r="A408" s="4"/>
      <c r="B408" s="6"/>
      <c r="C408" s="6"/>
      <c r="D408" s="6"/>
      <c r="E408" s="6"/>
      <c r="F408" s="6"/>
      <c r="G408" s="9"/>
    </row>
    <row r="409" spans="1:7" ht="14.25" customHeight="1">
      <c r="A409" s="4"/>
      <c r="B409" s="6"/>
      <c r="C409" s="6"/>
      <c r="D409" s="6"/>
      <c r="E409" s="6"/>
      <c r="F409" s="6"/>
      <c r="G409" s="9"/>
    </row>
    <row r="410" spans="1:7" ht="14.25" customHeight="1">
      <c r="A410" s="4"/>
      <c r="B410" s="6"/>
      <c r="C410" s="6"/>
      <c r="D410" s="6"/>
      <c r="E410" s="6"/>
      <c r="F410" s="6"/>
      <c r="G410" s="9"/>
    </row>
    <row r="411" spans="1:7" ht="14.25" customHeight="1">
      <c r="A411" s="4"/>
      <c r="B411" s="6"/>
      <c r="C411" s="6"/>
      <c r="D411" s="6"/>
      <c r="E411" s="6"/>
      <c r="F411" s="6"/>
      <c r="G411" s="9"/>
    </row>
    <row r="412" spans="1:7" ht="14.25" customHeight="1">
      <c r="A412" s="4"/>
      <c r="B412" s="6"/>
      <c r="C412" s="6"/>
      <c r="D412" s="6"/>
      <c r="E412" s="6"/>
      <c r="F412" s="6"/>
      <c r="G412" s="9"/>
    </row>
    <row r="413" spans="1:7" ht="14.25" customHeight="1">
      <c r="A413" s="4"/>
      <c r="B413" s="6"/>
      <c r="C413" s="6"/>
      <c r="D413" s="6"/>
      <c r="E413" s="6"/>
      <c r="F413" s="6"/>
      <c r="G413" s="9"/>
    </row>
    <row r="414" spans="1:7" ht="14.25" customHeight="1">
      <c r="A414" s="4"/>
      <c r="B414" s="6"/>
      <c r="C414" s="6"/>
      <c r="D414" s="6"/>
      <c r="E414" s="6"/>
      <c r="F414" s="6"/>
      <c r="G414" s="9"/>
    </row>
    <row r="415" spans="1:7" ht="14.25" customHeight="1">
      <c r="A415" s="4"/>
      <c r="B415" s="6"/>
      <c r="C415" s="6"/>
      <c r="D415" s="6"/>
      <c r="E415" s="6"/>
      <c r="F415" s="6"/>
      <c r="G415" s="9"/>
    </row>
    <row r="416" spans="1:7" ht="14.25" customHeight="1">
      <c r="A416" s="4"/>
      <c r="B416" s="6"/>
      <c r="C416" s="6"/>
      <c r="D416" s="6"/>
      <c r="E416" s="6"/>
      <c r="F416" s="6"/>
      <c r="G416" s="9"/>
    </row>
    <row r="417" spans="1:7" ht="14.25" customHeight="1">
      <c r="A417" s="4"/>
      <c r="B417" s="6"/>
      <c r="C417" s="6"/>
      <c r="D417" s="6"/>
      <c r="E417" s="6"/>
      <c r="F417" s="6"/>
      <c r="G417" s="9"/>
    </row>
    <row r="418" spans="1:7" ht="14.25" customHeight="1">
      <c r="A418" s="4"/>
      <c r="B418" s="6"/>
      <c r="C418" s="6"/>
      <c r="D418" s="6"/>
      <c r="E418" s="6"/>
      <c r="F418" s="6"/>
      <c r="G418" s="9"/>
    </row>
    <row r="419" spans="1:7" ht="14.25" customHeight="1">
      <c r="A419" s="4"/>
      <c r="B419" s="6"/>
      <c r="C419" s="6"/>
      <c r="D419" s="6"/>
      <c r="E419" s="6"/>
      <c r="F419" s="6"/>
      <c r="G419" s="9"/>
    </row>
    <row r="420" spans="1:7" ht="14.25" customHeight="1">
      <c r="A420" s="4"/>
      <c r="B420" s="6"/>
      <c r="C420" s="6"/>
      <c r="D420" s="6"/>
      <c r="E420" s="6"/>
      <c r="F420" s="6"/>
      <c r="G420" s="9"/>
    </row>
    <row r="421" spans="1:7" ht="14.25" customHeight="1">
      <c r="A421" s="4"/>
      <c r="B421" s="6"/>
      <c r="C421" s="6"/>
      <c r="D421" s="6"/>
      <c r="E421" s="6"/>
      <c r="F421" s="6"/>
      <c r="G421" s="9"/>
    </row>
    <row r="422" spans="1:7" ht="14.25" customHeight="1">
      <c r="A422" s="4"/>
      <c r="B422" s="6"/>
      <c r="C422" s="6"/>
      <c r="D422" s="6"/>
      <c r="E422" s="6"/>
      <c r="F422" s="6"/>
      <c r="G422" s="9"/>
    </row>
    <row r="423" spans="1:7" ht="14.25" customHeight="1">
      <c r="A423" s="4"/>
      <c r="B423" s="6"/>
      <c r="C423" s="6"/>
      <c r="D423" s="6"/>
      <c r="E423" s="6"/>
      <c r="F423" s="6"/>
      <c r="G423" s="9"/>
    </row>
    <row r="424" spans="1:7" ht="14.25" customHeight="1">
      <c r="A424" s="4"/>
      <c r="B424" s="6"/>
      <c r="C424" s="6"/>
      <c r="D424" s="6"/>
      <c r="E424" s="6"/>
      <c r="F424" s="6"/>
      <c r="G424" s="9"/>
    </row>
    <row r="425" spans="1:7" ht="14.25" customHeight="1">
      <c r="A425" s="4"/>
      <c r="B425" s="6"/>
      <c r="C425" s="6"/>
      <c r="D425" s="6"/>
      <c r="E425" s="6"/>
      <c r="F425" s="6"/>
      <c r="G425" s="9"/>
    </row>
    <row r="426" spans="1:7" ht="14.25" customHeight="1">
      <c r="A426" s="4"/>
      <c r="B426" s="6"/>
      <c r="C426" s="6"/>
      <c r="D426" s="6"/>
      <c r="E426" s="6"/>
      <c r="F426" s="6"/>
      <c r="G426" s="9"/>
    </row>
    <row r="427" spans="1:7" ht="14.25" customHeight="1">
      <c r="A427" s="4"/>
      <c r="B427" s="6"/>
      <c r="C427" s="6"/>
      <c r="D427" s="6"/>
      <c r="E427" s="6"/>
      <c r="F427" s="6"/>
      <c r="G427" s="9"/>
    </row>
    <row r="428" spans="1:7" ht="14.25" customHeight="1">
      <c r="A428" s="4"/>
      <c r="B428" s="6"/>
      <c r="C428" s="6"/>
      <c r="D428" s="6"/>
      <c r="E428" s="6"/>
      <c r="F428" s="6"/>
      <c r="G428" s="9"/>
    </row>
    <row r="429" spans="1:7" ht="14.25" customHeight="1">
      <c r="A429" s="4"/>
      <c r="B429" s="6"/>
      <c r="C429" s="6"/>
      <c r="D429" s="6"/>
      <c r="E429" s="6"/>
      <c r="F429" s="6"/>
      <c r="G429" s="9"/>
    </row>
    <row r="430" spans="1:7" ht="14.25" customHeight="1">
      <c r="A430" s="4"/>
      <c r="B430" s="6"/>
      <c r="C430" s="6"/>
      <c r="D430" s="6"/>
      <c r="E430" s="6"/>
      <c r="F430" s="6"/>
      <c r="G430" s="9"/>
    </row>
    <row r="431" spans="1:7" ht="14.25" customHeight="1">
      <c r="A431" s="4"/>
      <c r="B431" s="6"/>
      <c r="C431" s="6"/>
      <c r="D431" s="6"/>
      <c r="E431" s="6"/>
      <c r="F431" s="6"/>
      <c r="G431" s="9"/>
    </row>
    <row r="432" spans="1:7" ht="14.25" customHeight="1">
      <c r="A432" s="4"/>
      <c r="B432" s="6"/>
      <c r="C432" s="6"/>
      <c r="D432" s="6"/>
      <c r="E432" s="6"/>
      <c r="F432" s="6"/>
      <c r="G432" s="9"/>
    </row>
    <row r="433" spans="1:7" ht="14.25" customHeight="1">
      <c r="A433" s="4"/>
      <c r="B433" s="6"/>
      <c r="C433" s="6"/>
      <c r="D433" s="6"/>
      <c r="E433" s="6"/>
      <c r="F433" s="6"/>
      <c r="G433" s="9"/>
    </row>
    <row r="434" spans="1:7" ht="14.25" customHeight="1">
      <c r="A434" s="4"/>
      <c r="B434" s="6"/>
      <c r="C434" s="6"/>
      <c r="D434" s="6"/>
      <c r="E434" s="6"/>
      <c r="F434" s="6"/>
      <c r="G434" s="9"/>
    </row>
    <row r="435" spans="1:7" ht="14.25" customHeight="1">
      <c r="A435" s="4"/>
      <c r="B435" s="6"/>
      <c r="C435" s="6"/>
      <c r="D435" s="6"/>
      <c r="E435" s="6"/>
      <c r="F435" s="6"/>
      <c r="G435" s="9"/>
    </row>
    <row r="436" spans="1:7" ht="14.25" customHeight="1">
      <c r="A436" s="4"/>
      <c r="B436" s="6"/>
      <c r="C436" s="6"/>
      <c r="D436" s="6"/>
      <c r="E436" s="6"/>
      <c r="F436" s="6"/>
      <c r="G436" s="9"/>
    </row>
    <row r="437" spans="1:7" ht="14.25" customHeight="1">
      <c r="A437" s="4"/>
      <c r="B437" s="6"/>
      <c r="C437" s="6"/>
      <c r="D437" s="6"/>
      <c r="E437" s="6"/>
      <c r="F437" s="6"/>
      <c r="G437" s="9"/>
    </row>
    <row r="438" spans="1:7" ht="14.25" customHeight="1">
      <c r="A438" s="4"/>
      <c r="B438" s="6"/>
      <c r="C438" s="6"/>
      <c r="D438" s="6"/>
      <c r="E438" s="6"/>
      <c r="F438" s="6"/>
      <c r="G438" s="9"/>
    </row>
    <row r="439" spans="1:7" ht="14.25" customHeight="1">
      <c r="A439" s="4"/>
      <c r="B439" s="6"/>
      <c r="C439" s="6"/>
      <c r="D439" s="6"/>
      <c r="E439" s="6"/>
      <c r="F439" s="6"/>
      <c r="G439" s="9"/>
    </row>
    <row r="440" spans="1:7" ht="14.25" customHeight="1">
      <c r="A440" s="4"/>
      <c r="B440" s="6"/>
      <c r="C440" s="6"/>
      <c r="D440" s="6"/>
      <c r="E440" s="6"/>
      <c r="F440" s="6"/>
      <c r="G440" s="9"/>
    </row>
    <row r="441" spans="1:7" ht="14.25" customHeight="1">
      <c r="A441" s="4"/>
      <c r="B441" s="6"/>
      <c r="C441" s="6"/>
      <c r="D441" s="6"/>
      <c r="E441" s="6"/>
      <c r="F441" s="6"/>
      <c r="G441" s="9"/>
    </row>
    <row r="442" spans="1:7" ht="14.25" customHeight="1">
      <c r="A442" s="4"/>
      <c r="B442" s="6"/>
      <c r="C442" s="6"/>
      <c r="D442" s="6"/>
      <c r="E442" s="6"/>
      <c r="F442" s="6"/>
      <c r="G442" s="9"/>
    </row>
    <row r="443" spans="1:7" ht="14.25" customHeight="1">
      <c r="A443" s="4"/>
      <c r="B443" s="6"/>
      <c r="C443" s="6"/>
      <c r="D443" s="6"/>
      <c r="E443" s="6"/>
      <c r="F443" s="6"/>
      <c r="G443" s="9"/>
    </row>
    <row r="444" spans="1:7" ht="14.25" customHeight="1">
      <c r="A444" s="4"/>
      <c r="B444" s="6"/>
      <c r="C444" s="6"/>
      <c r="D444" s="6"/>
      <c r="E444" s="6"/>
      <c r="F444" s="6"/>
      <c r="G444" s="9"/>
    </row>
    <row r="445" spans="1:7" ht="14.25" customHeight="1">
      <c r="A445" s="4"/>
      <c r="B445" s="6"/>
      <c r="C445" s="6"/>
      <c r="D445" s="6"/>
      <c r="E445" s="6"/>
      <c r="F445" s="6"/>
      <c r="G445" s="9"/>
    </row>
    <row r="446" spans="1:7" ht="14.25" customHeight="1">
      <c r="A446" s="4"/>
      <c r="B446" s="6"/>
      <c r="C446" s="6"/>
      <c r="D446" s="6"/>
      <c r="E446" s="6"/>
      <c r="F446" s="6"/>
      <c r="G446" s="9"/>
    </row>
    <row r="447" spans="1:7" ht="14.25" customHeight="1">
      <c r="A447" s="4"/>
      <c r="B447" s="6"/>
      <c r="C447" s="6"/>
      <c r="D447" s="6"/>
      <c r="E447" s="6"/>
      <c r="F447" s="6"/>
      <c r="G447" s="9"/>
    </row>
    <row r="448" spans="1:7" ht="14.25" customHeight="1">
      <c r="A448" s="4"/>
      <c r="B448" s="6"/>
      <c r="C448" s="6"/>
      <c r="D448" s="6"/>
      <c r="E448" s="6"/>
      <c r="F448" s="6"/>
      <c r="G448" s="9"/>
    </row>
    <row r="449" spans="1:7" ht="14.25" customHeight="1">
      <c r="A449" s="4"/>
      <c r="B449" s="6"/>
      <c r="C449" s="6"/>
      <c r="D449" s="6"/>
      <c r="E449" s="6"/>
      <c r="F449" s="6"/>
      <c r="G449" s="9"/>
    </row>
    <row r="450" spans="1:7" ht="14.25" customHeight="1">
      <c r="A450" s="4"/>
      <c r="B450" s="6"/>
      <c r="C450" s="6"/>
      <c r="D450" s="6"/>
      <c r="E450" s="6"/>
      <c r="F450" s="6"/>
      <c r="G450" s="9"/>
    </row>
    <row r="451" spans="1:7" ht="14.25" customHeight="1">
      <c r="A451" s="4"/>
      <c r="B451" s="6"/>
      <c r="C451" s="6"/>
      <c r="D451" s="6"/>
      <c r="E451" s="6"/>
      <c r="F451" s="6"/>
      <c r="G451" s="9"/>
    </row>
    <row r="452" spans="1:7" ht="14.25" customHeight="1">
      <c r="A452" s="4"/>
      <c r="B452" s="6"/>
      <c r="C452" s="6"/>
      <c r="D452" s="6"/>
      <c r="E452" s="6"/>
      <c r="F452" s="6"/>
      <c r="G452" s="9"/>
    </row>
    <row r="453" spans="1:7" ht="14.25" customHeight="1">
      <c r="A453" s="4"/>
      <c r="B453" s="6"/>
      <c r="C453" s="6"/>
      <c r="D453" s="6"/>
      <c r="E453" s="6"/>
      <c r="F453" s="6"/>
      <c r="G453" s="9"/>
    </row>
    <row r="454" spans="1:7" ht="14.25" customHeight="1">
      <c r="A454" s="4"/>
      <c r="B454" s="6"/>
      <c r="C454" s="6"/>
      <c r="D454" s="6"/>
      <c r="E454" s="6"/>
      <c r="F454" s="6"/>
      <c r="G454" s="9"/>
    </row>
    <row r="455" spans="1:7" ht="14.25" customHeight="1">
      <c r="A455" s="4"/>
      <c r="B455" s="6"/>
      <c r="C455" s="6"/>
      <c r="D455" s="6"/>
      <c r="E455" s="6"/>
      <c r="F455" s="6"/>
      <c r="G455" s="9"/>
    </row>
    <row r="456" spans="1:7" ht="14.25" customHeight="1">
      <c r="A456" s="4"/>
      <c r="B456" s="6"/>
      <c r="C456" s="6"/>
      <c r="D456" s="6"/>
      <c r="E456" s="6"/>
      <c r="F456" s="6"/>
      <c r="G456" s="9"/>
    </row>
    <row r="457" spans="1:7" ht="14.25" customHeight="1">
      <c r="A457" s="4"/>
      <c r="B457" s="6"/>
      <c r="C457" s="6"/>
      <c r="D457" s="6"/>
      <c r="E457" s="6"/>
      <c r="F457" s="6"/>
      <c r="G457" s="9"/>
    </row>
    <row r="458" spans="1:7" ht="14.25" customHeight="1">
      <c r="A458" s="4"/>
      <c r="B458" s="6"/>
      <c r="C458" s="6"/>
      <c r="D458" s="6"/>
      <c r="E458" s="6"/>
      <c r="F458" s="6"/>
      <c r="G458" s="9"/>
    </row>
    <row r="459" spans="1:7" ht="14.25" customHeight="1">
      <c r="A459" s="4"/>
      <c r="B459" s="6"/>
      <c r="C459" s="6"/>
      <c r="D459" s="6"/>
      <c r="E459" s="6"/>
      <c r="F459" s="6"/>
      <c r="G459" s="9"/>
    </row>
    <row r="460" spans="1:7" ht="14.25" customHeight="1">
      <c r="A460" s="4"/>
      <c r="B460" s="6"/>
      <c r="C460" s="6"/>
      <c r="D460" s="6"/>
      <c r="E460" s="6"/>
      <c r="F460" s="6"/>
      <c r="G460" s="9"/>
    </row>
    <row r="461" spans="1:7" ht="14.25" customHeight="1">
      <c r="A461" s="4"/>
      <c r="B461" s="6"/>
      <c r="C461" s="6"/>
      <c r="D461" s="6"/>
      <c r="E461" s="6"/>
      <c r="F461" s="6"/>
      <c r="G461" s="9"/>
    </row>
    <row r="462" spans="1:7" ht="14.25" customHeight="1">
      <c r="A462" s="4"/>
      <c r="B462" s="6"/>
      <c r="C462" s="6"/>
      <c r="D462" s="6"/>
      <c r="E462" s="6"/>
      <c r="F462" s="6"/>
      <c r="G462" s="9"/>
    </row>
    <row r="463" spans="1:7" ht="14.25" customHeight="1">
      <c r="A463" s="4"/>
      <c r="B463" s="6"/>
      <c r="C463" s="6"/>
      <c r="D463" s="6"/>
      <c r="E463" s="6"/>
      <c r="F463" s="6"/>
      <c r="G463" s="9"/>
    </row>
    <row r="464" spans="1:7" ht="14.25" customHeight="1">
      <c r="A464" s="4"/>
      <c r="B464" s="6"/>
      <c r="C464" s="6"/>
      <c r="D464" s="6"/>
      <c r="E464" s="6"/>
      <c r="F464" s="6"/>
      <c r="G464" s="9"/>
    </row>
    <row r="465" spans="1:7" ht="14.25" customHeight="1">
      <c r="A465" s="4"/>
      <c r="B465" s="6"/>
      <c r="C465" s="6"/>
      <c r="D465" s="6"/>
      <c r="E465" s="6"/>
      <c r="F465" s="6"/>
      <c r="G465" s="9"/>
    </row>
    <row r="466" spans="1:7" ht="14.25" customHeight="1">
      <c r="A466" s="4"/>
      <c r="B466" s="6"/>
      <c r="C466" s="6"/>
      <c r="D466" s="6"/>
      <c r="E466" s="6"/>
      <c r="F466" s="6"/>
      <c r="G466" s="9"/>
    </row>
    <row r="467" spans="1:7" ht="14.25" customHeight="1">
      <c r="A467" s="4"/>
      <c r="B467" s="6"/>
      <c r="C467" s="6"/>
      <c r="D467" s="6"/>
      <c r="E467" s="6"/>
      <c r="F467" s="6"/>
      <c r="G467" s="9"/>
    </row>
    <row r="468" spans="1:7" ht="14.25" customHeight="1">
      <c r="A468" s="4"/>
      <c r="B468" s="6"/>
      <c r="C468" s="6"/>
      <c r="D468" s="6"/>
      <c r="E468" s="6"/>
      <c r="F468" s="6"/>
      <c r="G468" s="9"/>
    </row>
    <row r="469" spans="1:7" ht="14.25" customHeight="1">
      <c r="A469" s="4"/>
      <c r="B469" s="6"/>
      <c r="C469" s="6"/>
      <c r="D469" s="6"/>
      <c r="E469" s="6"/>
      <c r="F469" s="6"/>
      <c r="G469" s="9"/>
    </row>
    <row r="470" spans="1:7" ht="14.25" customHeight="1">
      <c r="A470" s="4"/>
      <c r="B470" s="6"/>
      <c r="C470" s="6"/>
      <c r="D470" s="6"/>
      <c r="E470" s="6"/>
      <c r="F470" s="6"/>
      <c r="G470" s="9"/>
    </row>
    <row r="471" spans="1:7" ht="14.25" customHeight="1">
      <c r="A471" s="4"/>
      <c r="B471" s="6"/>
      <c r="C471" s="6"/>
      <c r="D471" s="6"/>
      <c r="E471" s="6"/>
      <c r="F471" s="6"/>
      <c r="G471" s="9"/>
    </row>
    <row r="472" spans="1:7" ht="14.25" customHeight="1">
      <c r="A472" s="4"/>
      <c r="B472" s="6"/>
      <c r="C472" s="6"/>
      <c r="D472" s="6"/>
      <c r="E472" s="6"/>
      <c r="F472" s="6"/>
      <c r="G472" s="9"/>
    </row>
    <row r="473" spans="1:7" ht="14.25" customHeight="1">
      <c r="A473" s="4"/>
      <c r="B473" s="6"/>
      <c r="C473" s="6"/>
      <c r="D473" s="6"/>
      <c r="E473" s="6"/>
      <c r="F473" s="6"/>
      <c r="G473" s="9"/>
    </row>
    <row r="474" spans="1:7" ht="14.25" customHeight="1">
      <c r="A474" s="4"/>
      <c r="B474" s="6"/>
      <c r="C474" s="6"/>
      <c r="D474" s="6"/>
      <c r="E474" s="6"/>
      <c r="F474" s="6"/>
      <c r="G474" s="9"/>
    </row>
    <row r="475" spans="1:7" ht="14.25" customHeight="1">
      <c r="A475" s="4"/>
      <c r="B475" s="6"/>
      <c r="C475" s="6"/>
      <c r="D475" s="6"/>
      <c r="E475" s="6"/>
      <c r="F475" s="6"/>
      <c r="G475" s="9"/>
    </row>
    <row r="476" spans="1:7" ht="14.25" customHeight="1">
      <c r="A476" s="4"/>
      <c r="B476" s="6"/>
      <c r="C476" s="6"/>
      <c r="D476" s="6"/>
      <c r="E476" s="6"/>
      <c r="F476" s="6"/>
      <c r="G476" s="9"/>
    </row>
    <row r="477" spans="1:7" ht="14.25" customHeight="1">
      <c r="A477" s="4"/>
      <c r="B477" s="6"/>
      <c r="C477" s="6"/>
      <c r="D477" s="6"/>
      <c r="E477" s="6"/>
      <c r="F477" s="6"/>
      <c r="G477" s="9"/>
    </row>
    <row r="478" spans="1:7" ht="14.25" customHeight="1">
      <c r="A478" s="4"/>
      <c r="B478" s="6"/>
      <c r="C478" s="6"/>
      <c r="D478" s="6"/>
      <c r="E478" s="6"/>
      <c r="F478" s="6"/>
      <c r="G478" s="9"/>
    </row>
    <row r="479" spans="1:7" ht="14.25" customHeight="1">
      <c r="A479" s="4"/>
      <c r="B479" s="6"/>
      <c r="C479" s="6"/>
      <c r="D479" s="6"/>
      <c r="E479" s="6"/>
      <c r="F479" s="6"/>
      <c r="G479" s="9"/>
    </row>
    <row r="480" spans="1:7" ht="14.25" customHeight="1">
      <c r="A480" s="4"/>
      <c r="B480" s="6"/>
      <c r="C480" s="6"/>
      <c r="D480" s="6"/>
      <c r="E480" s="6"/>
      <c r="F480" s="6"/>
      <c r="G480" s="9"/>
    </row>
    <row r="481" spans="1:7" ht="14.25" customHeight="1">
      <c r="A481" s="4"/>
      <c r="B481" s="6"/>
      <c r="C481" s="6"/>
      <c r="D481" s="6"/>
      <c r="E481" s="6"/>
      <c r="F481" s="6"/>
      <c r="G481" s="9"/>
    </row>
    <row r="482" spans="1:7" ht="14.25" customHeight="1">
      <c r="A482" s="4"/>
      <c r="B482" s="6"/>
      <c r="C482" s="6"/>
      <c r="D482" s="6"/>
      <c r="E482" s="6"/>
      <c r="F482" s="6"/>
      <c r="G482" s="9"/>
    </row>
    <row r="483" spans="1:7" ht="14.25" customHeight="1">
      <c r="A483" s="4"/>
      <c r="B483" s="6"/>
      <c r="C483" s="6"/>
      <c r="D483" s="6"/>
      <c r="E483" s="6"/>
      <c r="F483" s="6"/>
      <c r="G483" s="9"/>
    </row>
    <row r="484" spans="1:7" ht="14.25" customHeight="1">
      <c r="A484" s="4"/>
      <c r="B484" s="6"/>
      <c r="C484" s="6"/>
      <c r="D484" s="6"/>
      <c r="E484" s="6"/>
      <c r="F484" s="6"/>
      <c r="G484" s="9"/>
    </row>
    <row r="485" spans="1:7" ht="14.25" customHeight="1">
      <c r="A485" s="4"/>
      <c r="B485" s="6"/>
      <c r="C485" s="6"/>
      <c r="D485" s="6"/>
      <c r="E485" s="6"/>
      <c r="F485" s="6"/>
      <c r="G485" s="9"/>
    </row>
    <row r="486" spans="1:7" ht="14.25" customHeight="1">
      <c r="A486" s="4"/>
      <c r="B486" s="6"/>
      <c r="C486" s="6"/>
      <c r="D486" s="6"/>
      <c r="E486" s="6"/>
      <c r="F486" s="6"/>
      <c r="G486" s="9"/>
    </row>
    <row r="487" spans="1:7" ht="14.25" customHeight="1">
      <c r="A487" s="4"/>
      <c r="B487" s="6"/>
      <c r="C487" s="6"/>
      <c r="D487" s="6"/>
      <c r="E487" s="6"/>
      <c r="F487" s="6"/>
      <c r="G487" s="9"/>
    </row>
    <row r="488" spans="1:7" ht="14.25" customHeight="1">
      <c r="A488" s="4"/>
      <c r="B488" s="6"/>
      <c r="C488" s="6"/>
      <c r="D488" s="6"/>
      <c r="E488" s="6"/>
      <c r="F488" s="6"/>
      <c r="G488" s="9"/>
    </row>
    <row r="489" spans="1:7" ht="14.25" customHeight="1">
      <c r="A489" s="4"/>
      <c r="B489" s="6"/>
      <c r="C489" s="6"/>
      <c r="D489" s="6"/>
      <c r="E489" s="6"/>
      <c r="F489" s="6"/>
      <c r="G489" s="9"/>
    </row>
    <row r="490" spans="1:7" ht="14.25" customHeight="1">
      <c r="A490" s="4"/>
      <c r="B490" s="6"/>
      <c r="C490" s="6"/>
      <c r="D490" s="6"/>
      <c r="E490" s="6"/>
      <c r="F490" s="6"/>
      <c r="G490" s="9"/>
    </row>
    <row r="491" spans="1:7" ht="14.25" customHeight="1">
      <c r="A491" s="4"/>
      <c r="B491" s="6"/>
      <c r="C491" s="6"/>
      <c r="D491" s="6"/>
      <c r="E491" s="6"/>
      <c r="F491" s="6"/>
      <c r="G491" s="9"/>
    </row>
    <row r="492" spans="1:7" ht="14.25" customHeight="1">
      <c r="A492" s="4"/>
      <c r="B492" s="6"/>
      <c r="C492" s="6"/>
      <c r="D492" s="6"/>
      <c r="E492" s="6"/>
      <c r="F492" s="6"/>
      <c r="G492" s="9"/>
    </row>
    <row r="493" spans="1:7" ht="14.25" customHeight="1">
      <c r="A493" s="4"/>
      <c r="B493" s="6"/>
      <c r="C493" s="6"/>
      <c r="D493" s="6"/>
      <c r="E493" s="6"/>
      <c r="F493" s="6"/>
      <c r="G493" s="9"/>
    </row>
    <row r="494" spans="1:7" ht="14.25" customHeight="1">
      <c r="A494" s="4"/>
      <c r="B494" s="6"/>
      <c r="C494" s="6"/>
      <c r="D494" s="6"/>
      <c r="E494" s="6"/>
      <c r="F494" s="6"/>
      <c r="G494" s="9"/>
    </row>
    <row r="495" spans="1:7" ht="14.25" customHeight="1">
      <c r="A495" s="4"/>
      <c r="B495" s="6"/>
      <c r="C495" s="6"/>
      <c r="D495" s="6"/>
      <c r="E495" s="6"/>
      <c r="F495" s="6"/>
      <c r="G495" s="9"/>
    </row>
    <row r="496" spans="1:7" ht="14.25" customHeight="1">
      <c r="A496" s="4"/>
      <c r="B496" s="6"/>
      <c r="C496" s="6"/>
      <c r="D496" s="6"/>
      <c r="E496" s="6"/>
      <c r="F496" s="6"/>
      <c r="G496" s="9"/>
    </row>
    <row r="497" spans="1:7" ht="14.25" customHeight="1">
      <c r="A497" s="4"/>
      <c r="B497" s="6"/>
      <c r="C497" s="6"/>
      <c r="D497" s="6"/>
      <c r="E497" s="6"/>
      <c r="F497" s="6"/>
      <c r="G497" s="9"/>
    </row>
    <row r="498" spans="1:7" ht="14.25" customHeight="1">
      <c r="A498" s="4"/>
      <c r="B498" s="6"/>
      <c r="C498" s="6"/>
      <c r="D498" s="6"/>
      <c r="E498" s="6"/>
      <c r="F498" s="6"/>
      <c r="G498" s="9"/>
    </row>
    <row r="499" spans="1:7" ht="14.25" customHeight="1">
      <c r="A499" s="4"/>
      <c r="B499" s="6"/>
      <c r="C499" s="6"/>
      <c r="D499" s="6"/>
      <c r="E499" s="6"/>
      <c r="F499" s="6"/>
      <c r="G499" s="9"/>
    </row>
    <row r="500" spans="1:7" ht="14.25" customHeight="1">
      <c r="A500" s="4"/>
      <c r="B500" s="6"/>
      <c r="C500" s="6"/>
      <c r="D500" s="6"/>
      <c r="E500" s="6"/>
      <c r="F500" s="6"/>
      <c r="G500" s="9"/>
    </row>
    <row r="501" spans="1:7" ht="14.25" customHeight="1">
      <c r="A501" s="4"/>
      <c r="B501" s="6"/>
      <c r="C501" s="6"/>
      <c r="D501" s="6"/>
      <c r="E501" s="6"/>
      <c r="F501" s="6"/>
      <c r="G501" s="9"/>
    </row>
    <row r="502" spans="1:7" ht="14.25" customHeight="1">
      <c r="A502" s="4"/>
      <c r="B502" s="6"/>
      <c r="C502" s="6"/>
      <c r="D502" s="6"/>
      <c r="E502" s="6"/>
      <c r="F502" s="6"/>
      <c r="G502" s="9"/>
    </row>
    <row r="503" spans="1:7" ht="14.25" customHeight="1">
      <c r="A503" s="4"/>
      <c r="B503" s="6"/>
      <c r="C503" s="6"/>
      <c r="D503" s="6"/>
      <c r="E503" s="6"/>
      <c r="F503" s="6"/>
      <c r="G503" s="9"/>
    </row>
    <row r="504" spans="1:7" ht="14.25" customHeight="1">
      <c r="A504" s="4"/>
      <c r="B504" s="6"/>
      <c r="C504" s="6"/>
      <c r="D504" s="6"/>
      <c r="E504" s="6"/>
      <c r="F504" s="6"/>
      <c r="G504" s="9"/>
    </row>
    <row r="505" spans="1:7" ht="14.25" customHeight="1">
      <c r="A505" s="4"/>
      <c r="B505" s="6"/>
      <c r="C505" s="6"/>
      <c r="D505" s="6"/>
      <c r="E505" s="6"/>
      <c r="F505" s="6"/>
      <c r="G505" s="9"/>
    </row>
    <row r="506" spans="1:7" ht="14.25" customHeight="1">
      <c r="A506" s="4"/>
      <c r="B506" s="6"/>
      <c r="C506" s="6"/>
      <c r="D506" s="6"/>
      <c r="E506" s="6"/>
      <c r="F506" s="6"/>
      <c r="G506" s="9"/>
    </row>
    <row r="507" spans="1:7" ht="14.25" customHeight="1">
      <c r="A507" s="4"/>
      <c r="B507" s="6"/>
      <c r="C507" s="6"/>
      <c r="D507" s="6"/>
      <c r="E507" s="6"/>
      <c r="F507" s="6"/>
      <c r="G507" s="9"/>
    </row>
    <row r="508" spans="1:7" ht="14.25" customHeight="1">
      <c r="A508" s="4"/>
      <c r="B508" s="6"/>
      <c r="C508" s="6"/>
      <c r="D508" s="6"/>
      <c r="E508" s="6"/>
      <c r="F508" s="6"/>
      <c r="G508" s="9"/>
    </row>
    <row r="509" spans="1:7" ht="14.25" customHeight="1">
      <c r="A509" s="4"/>
      <c r="B509" s="6"/>
      <c r="C509" s="6"/>
      <c r="D509" s="6"/>
      <c r="E509" s="6"/>
      <c r="F509" s="6"/>
      <c r="G509" s="9"/>
    </row>
    <row r="510" spans="1:7" ht="14.25" customHeight="1">
      <c r="A510" s="4"/>
      <c r="B510" s="6"/>
      <c r="C510" s="6"/>
      <c r="D510" s="6"/>
      <c r="E510" s="6"/>
      <c r="F510" s="6"/>
      <c r="G510" s="9"/>
    </row>
    <row r="511" spans="1:7" ht="14.25" customHeight="1">
      <c r="A511" s="4"/>
      <c r="B511" s="6"/>
      <c r="C511" s="6"/>
      <c r="D511" s="6"/>
      <c r="E511" s="6"/>
      <c r="F511" s="6"/>
      <c r="G511" s="9"/>
    </row>
    <row r="512" spans="1:7" ht="14.25" customHeight="1">
      <c r="A512" s="4"/>
      <c r="B512" s="6"/>
      <c r="C512" s="6"/>
      <c r="D512" s="6"/>
      <c r="E512" s="6"/>
      <c r="F512" s="6"/>
      <c r="G512" s="9"/>
    </row>
    <row r="513" spans="1:7" ht="14.25" customHeight="1">
      <c r="A513" s="4"/>
      <c r="B513" s="6"/>
      <c r="C513" s="6"/>
      <c r="D513" s="6"/>
      <c r="E513" s="6"/>
      <c r="F513" s="6"/>
      <c r="G513" s="9"/>
    </row>
    <row r="514" spans="1:7" ht="14.25" customHeight="1">
      <c r="A514" s="4"/>
      <c r="B514" s="6"/>
      <c r="C514" s="6"/>
      <c r="D514" s="6"/>
      <c r="E514" s="6"/>
      <c r="F514" s="6"/>
      <c r="G514" s="9"/>
    </row>
    <row r="515" spans="1:7" ht="14.25" customHeight="1">
      <c r="A515" s="4"/>
      <c r="B515" s="6"/>
      <c r="C515" s="6"/>
      <c r="D515" s="6"/>
      <c r="E515" s="6"/>
      <c r="F515" s="6"/>
      <c r="G515" s="9"/>
    </row>
    <row r="516" spans="1:7" ht="14.25" customHeight="1">
      <c r="A516" s="4"/>
      <c r="B516" s="6"/>
      <c r="C516" s="6"/>
      <c r="D516" s="6"/>
      <c r="E516" s="6"/>
      <c r="F516" s="6"/>
      <c r="G516" s="9"/>
    </row>
    <row r="517" spans="1:7" ht="14.25" customHeight="1">
      <c r="A517" s="4"/>
      <c r="B517" s="6"/>
      <c r="C517" s="6"/>
      <c r="D517" s="6"/>
      <c r="E517" s="6"/>
      <c r="F517" s="6"/>
      <c r="G517" s="9"/>
    </row>
    <row r="518" spans="1:7" ht="14.25" customHeight="1">
      <c r="A518" s="4"/>
      <c r="B518" s="6"/>
      <c r="C518" s="6"/>
      <c r="D518" s="6"/>
      <c r="E518" s="6"/>
      <c r="F518" s="6"/>
      <c r="G518" s="9"/>
    </row>
    <row r="519" spans="1:7" ht="14.25" customHeight="1">
      <c r="A519" s="4"/>
      <c r="B519" s="6"/>
      <c r="C519" s="6"/>
      <c r="D519" s="6"/>
      <c r="E519" s="6"/>
      <c r="F519" s="6"/>
      <c r="G519" s="9"/>
    </row>
    <row r="520" spans="1:7" ht="14.25" customHeight="1">
      <c r="A520" s="4"/>
      <c r="B520" s="6"/>
      <c r="C520" s="6"/>
      <c r="D520" s="6"/>
      <c r="E520" s="6"/>
      <c r="F520" s="6"/>
      <c r="G520" s="9"/>
    </row>
    <row r="521" spans="1:7" ht="14.25" customHeight="1">
      <c r="A521" s="4"/>
      <c r="B521" s="6"/>
      <c r="C521" s="6"/>
      <c r="D521" s="6"/>
      <c r="E521" s="6"/>
      <c r="F521" s="6"/>
      <c r="G521" s="9"/>
    </row>
    <row r="522" spans="1:7" ht="14.25" customHeight="1">
      <c r="A522" s="4"/>
      <c r="B522" s="6"/>
      <c r="C522" s="6"/>
      <c r="D522" s="6"/>
      <c r="E522" s="6"/>
      <c r="F522" s="6"/>
      <c r="G522" s="9"/>
    </row>
    <row r="523" spans="1:7" ht="14.25" customHeight="1">
      <c r="A523" s="4"/>
      <c r="B523" s="6"/>
      <c r="C523" s="6"/>
      <c r="D523" s="6"/>
      <c r="E523" s="6"/>
      <c r="F523" s="6"/>
      <c r="G523" s="9"/>
    </row>
    <row r="524" spans="1:7" ht="14.25" customHeight="1">
      <c r="A524" s="4"/>
      <c r="B524" s="6"/>
      <c r="C524" s="6"/>
      <c r="D524" s="6"/>
      <c r="E524" s="6"/>
      <c r="F524" s="6"/>
      <c r="G524" s="9"/>
    </row>
    <row r="525" spans="1:7" ht="14.25" customHeight="1">
      <c r="A525" s="4"/>
      <c r="B525" s="6"/>
      <c r="C525" s="6"/>
      <c r="D525" s="6"/>
      <c r="E525" s="6"/>
      <c r="F525" s="6"/>
      <c r="G525" s="9"/>
    </row>
    <row r="526" spans="1:7" ht="14.25" customHeight="1">
      <c r="A526" s="4"/>
      <c r="B526" s="6"/>
      <c r="C526" s="6"/>
      <c r="D526" s="6"/>
      <c r="E526" s="6"/>
      <c r="F526" s="6"/>
      <c r="G526" s="9"/>
    </row>
    <row r="527" spans="1:7" ht="14.25" customHeight="1">
      <c r="A527" s="4"/>
      <c r="B527" s="6"/>
      <c r="C527" s="6"/>
      <c r="D527" s="6"/>
      <c r="E527" s="6"/>
      <c r="F527" s="6"/>
      <c r="G527" s="9"/>
    </row>
    <row r="528" spans="1:7" ht="14.25" customHeight="1">
      <c r="A528" s="4"/>
      <c r="B528" s="6"/>
      <c r="C528" s="6"/>
      <c r="D528" s="6"/>
      <c r="E528" s="6"/>
      <c r="F528" s="6"/>
      <c r="G528" s="9"/>
    </row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conditionalFormatting sqref="D2:D529">
    <cfRule type="expression" dxfId="22" priority="1">
      <formula>OR($D2="Interested",$D2="Applied")</formula>
    </cfRule>
    <cfRule type="expression" dxfId="21" priority="2">
      <formula>OR($D2="Paperwork In Progress",$D2="Paperwork Complete",$D2="Onboarding / Training")</formula>
    </cfRule>
    <cfRule type="expression" dxfId="20" priority="3">
      <formula>$D2="Ready to Work"</formula>
    </cfRule>
    <cfRule type="expression" dxfId="19" priority="4">
      <formula>$D2="Active"</formula>
    </cfRule>
    <cfRule type="expression" dxfId="18" priority="5">
      <formula>OR($D2="On Hold",$D2="Inactive")</formula>
    </cfRule>
  </conditionalFormatting>
  <conditionalFormatting sqref="E2:E529">
    <cfRule type="expression" dxfId="17" priority="6">
      <formula>AND($D2="Active",$E2&lt;&gt;"Yes")</formula>
    </cfRule>
  </conditionalFormatting>
  <dataValidations count="3">
    <dataValidation type="list" allowBlank="1" sqref="F2:F528" xr:uid="{00000000-0002-0000-0300-000000000000}">
      <formula1>"Kathleen,Binay,Rajan,Other"</formula1>
    </dataValidation>
    <dataValidation type="list" allowBlank="1" sqref="E2:E528" xr:uid="{00000000-0002-0000-0300-000001000000}">
      <formula1>"Yes,No,N/A,Not Recorded"</formula1>
    </dataValidation>
    <dataValidation type="list" allowBlank="1" sqref="D2:D528" xr:uid="{00000000-0002-0000-0300-000002000000}">
      <formula1>"Interested,Applied,Paperwork In Progress,Paperwork Complete,Onboarding / Training,Ready to Work,Active,On Hold,Inactive,Vacation"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12" customWidth="1"/>
    <col min="2" max="2" width="19.3984375" customWidth="1"/>
    <col min="3" max="3" width="17" customWidth="1"/>
    <col min="4" max="4" width="14.3984375" customWidth="1"/>
    <col min="5" max="5" width="15" customWidth="1"/>
    <col min="6" max="6" width="18" customWidth="1"/>
    <col min="7" max="7" width="18.69921875" customWidth="1"/>
    <col min="8" max="8" width="14" customWidth="1"/>
    <col min="9" max="9" width="42" customWidth="1"/>
  </cols>
  <sheetData>
    <row r="1" spans="1:9" ht="33.75" customHeight="1">
      <c r="A1" s="1" t="s">
        <v>8</v>
      </c>
      <c r="B1" s="1" t="s">
        <v>11</v>
      </c>
      <c r="C1" s="1" t="s">
        <v>176</v>
      </c>
      <c r="D1" s="1" t="s">
        <v>177</v>
      </c>
      <c r="E1" s="1" t="s">
        <v>14</v>
      </c>
      <c r="F1" s="1" t="s">
        <v>181</v>
      </c>
      <c r="G1" s="1" t="s">
        <v>20</v>
      </c>
      <c r="H1" s="1" t="s">
        <v>25</v>
      </c>
      <c r="I1" s="1" t="s">
        <v>26</v>
      </c>
    </row>
    <row r="2" spans="1:9" ht="14.25" customHeight="1">
      <c r="A2" s="4" t="s">
        <v>186</v>
      </c>
      <c r="B2" s="6" t="s">
        <v>188</v>
      </c>
      <c r="C2" s="6"/>
      <c r="D2" s="6"/>
      <c r="E2" s="6"/>
      <c r="F2" s="6"/>
      <c r="G2" s="6"/>
      <c r="H2" s="6" t="s">
        <v>40</v>
      </c>
      <c r="I2" s="9"/>
    </row>
    <row r="3" spans="1:9" ht="14.25" customHeight="1">
      <c r="A3" s="4" t="s">
        <v>201</v>
      </c>
      <c r="B3" s="6" t="s">
        <v>203</v>
      </c>
      <c r="C3" s="6"/>
      <c r="D3" s="6"/>
      <c r="E3" s="6"/>
      <c r="F3" s="6"/>
      <c r="G3" s="6" t="s">
        <v>209</v>
      </c>
      <c r="H3" s="6" t="s">
        <v>40</v>
      </c>
      <c r="I3" s="9"/>
    </row>
    <row r="4" spans="1:9" ht="14.25" customHeight="1">
      <c r="A4" s="4" t="s">
        <v>215</v>
      </c>
      <c r="B4" s="6" t="s">
        <v>217</v>
      </c>
      <c r="C4" s="6"/>
      <c r="D4" s="6"/>
      <c r="E4" s="6"/>
      <c r="F4" s="6"/>
      <c r="G4" s="6"/>
      <c r="H4" s="6"/>
      <c r="I4" s="9"/>
    </row>
    <row r="5" spans="1:9" ht="14.25" customHeight="1">
      <c r="A5" s="4" t="s">
        <v>233</v>
      </c>
      <c r="B5" s="6" t="s">
        <v>234</v>
      </c>
      <c r="C5" s="6"/>
      <c r="D5" s="6"/>
      <c r="E5" s="6"/>
      <c r="F5" s="6"/>
      <c r="G5" s="6"/>
      <c r="H5" s="6"/>
      <c r="I5" s="9"/>
    </row>
    <row r="6" spans="1:9" ht="14.25" customHeight="1">
      <c r="A6" s="4" t="s">
        <v>246</v>
      </c>
      <c r="B6" s="6" t="s">
        <v>247</v>
      </c>
      <c r="C6" s="6"/>
      <c r="D6" s="6"/>
      <c r="E6" s="6"/>
      <c r="F6" s="6"/>
      <c r="G6" s="6"/>
      <c r="H6" s="6"/>
      <c r="I6" s="9"/>
    </row>
    <row r="7" spans="1:9" ht="14.25" customHeight="1">
      <c r="A7" s="4" t="s">
        <v>255</v>
      </c>
      <c r="B7" s="6" t="s">
        <v>256</v>
      </c>
      <c r="C7" s="6"/>
      <c r="D7" s="6"/>
      <c r="E7" s="6"/>
      <c r="F7" s="6"/>
      <c r="G7" s="6"/>
      <c r="H7" s="6"/>
      <c r="I7" s="9"/>
    </row>
    <row r="8" spans="1:9" ht="14.25" customHeight="1">
      <c r="A8" s="4" t="s">
        <v>272</v>
      </c>
      <c r="B8" s="6" t="s">
        <v>274</v>
      </c>
      <c r="C8" s="6"/>
      <c r="D8" s="6"/>
      <c r="E8" s="6"/>
      <c r="F8" s="6"/>
      <c r="G8" s="6"/>
      <c r="H8" s="6"/>
      <c r="I8" s="9"/>
    </row>
    <row r="9" spans="1:9" ht="14.25" customHeight="1">
      <c r="A9" s="4" t="s">
        <v>284</v>
      </c>
      <c r="B9" s="6" t="s">
        <v>288</v>
      </c>
      <c r="C9" s="6"/>
      <c r="D9" s="6"/>
      <c r="E9" s="6"/>
      <c r="F9" s="6"/>
      <c r="G9" s="6"/>
      <c r="H9" s="6"/>
      <c r="I9" s="9"/>
    </row>
    <row r="10" spans="1:9" ht="14.25" customHeight="1">
      <c r="A10" s="4" t="s">
        <v>293</v>
      </c>
      <c r="B10" s="6" t="s">
        <v>296</v>
      </c>
      <c r="C10" s="6"/>
      <c r="D10" s="6"/>
      <c r="E10" s="6"/>
      <c r="F10" s="6"/>
      <c r="G10" s="6"/>
      <c r="H10" s="6"/>
      <c r="I10" s="9"/>
    </row>
    <row r="11" spans="1:9" ht="14.25" customHeight="1">
      <c r="A11" s="4" t="s">
        <v>304</v>
      </c>
      <c r="B11" s="6" t="s">
        <v>306</v>
      </c>
      <c r="C11" s="6"/>
      <c r="D11" s="6"/>
      <c r="E11" s="6"/>
      <c r="F11" s="6"/>
      <c r="G11" s="6"/>
      <c r="H11" s="6"/>
      <c r="I11" s="9"/>
    </row>
    <row r="12" spans="1:9" ht="14.25" customHeight="1">
      <c r="A12" s="4" t="s">
        <v>312</v>
      </c>
      <c r="B12" s="6" t="s">
        <v>315</v>
      </c>
      <c r="C12" s="6"/>
      <c r="D12" s="6"/>
      <c r="E12" s="6"/>
      <c r="F12" s="6"/>
      <c r="G12" s="6"/>
      <c r="H12" s="6"/>
      <c r="I12" s="9"/>
    </row>
    <row r="13" spans="1:9" ht="14.25" customHeight="1">
      <c r="A13" s="4" t="s">
        <v>321</v>
      </c>
      <c r="B13" s="6" t="s">
        <v>323</v>
      </c>
      <c r="C13" s="6"/>
      <c r="D13" s="6"/>
      <c r="E13" s="6"/>
      <c r="F13" s="6"/>
      <c r="G13" s="6"/>
      <c r="H13" s="6"/>
      <c r="I13" s="9"/>
    </row>
    <row r="14" spans="1:9" ht="14.25" customHeight="1">
      <c r="A14" s="4" t="s">
        <v>335</v>
      </c>
      <c r="B14" s="6" t="s">
        <v>336</v>
      </c>
      <c r="C14" s="6"/>
      <c r="D14" s="6"/>
      <c r="E14" s="6"/>
      <c r="F14" s="6"/>
      <c r="G14" s="6"/>
      <c r="H14" s="6"/>
      <c r="I14" s="9"/>
    </row>
    <row r="15" spans="1:9" ht="14.25" customHeight="1">
      <c r="A15" s="4" t="s">
        <v>343</v>
      </c>
      <c r="B15" s="6" t="s">
        <v>344</v>
      </c>
      <c r="C15" s="6"/>
      <c r="D15" s="6"/>
      <c r="E15" s="6"/>
      <c r="F15" s="6"/>
      <c r="G15" s="6"/>
      <c r="H15" s="6"/>
      <c r="I15" s="9"/>
    </row>
    <row r="16" spans="1:9" ht="14.25" customHeight="1">
      <c r="A16" s="4" t="s">
        <v>352</v>
      </c>
      <c r="B16" s="6" t="s">
        <v>355</v>
      </c>
      <c r="C16" s="6"/>
      <c r="D16" s="6"/>
      <c r="E16" s="6"/>
      <c r="F16" s="6"/>
      <c r="G16" s="6"/>
      <c r="H16" s="6"/>
      <c r="I16" s="9"/>
    </row>
    <row r="17" spans="1:9" ht="14.25" customHeight="1">
      <c r="A17" s="4" t="s">
        <v>362</v>
      </c>
      <c r="B17" s="6" t="s">
        <v>364</v>
      </c>
      <c r="C17" s="6"/>
      <c r="D17" s="6"/>
      <c r="E17" s="6"/>
      <c r="F17" s="6"/>
      <c r="G17" s="6"/>
      <c r="H17" s="6"/>
      <c r="I17" s="9"/>
    </row>
    <row r="18" spans="1:9" ht="14.25" customHeight="1">
      <c r="A18" s="4" t="s">
        <v>371</v>
      </c>
      <c r="B18" s="6" t="s">
        <v>372</v>
      </c>
      <c r="C18" s="6"/>
      <c r="D18" s="6"/>
      <c r="E18" s="6"/>
      <c r="F18" s="6"/>
      <c r="G18" s="6"/>
      <c r="H18" s="6"/>
      <c r="I18" s="9"/>
    </row>
    <row r="19" spans="1:9" ht="14.25" customHeight="1">
      <c r="A19" s="4" t="s">
        <v>376</v>
      </c>
      <c r="B19" s="6" t="s">
        <v>378</v>
      </c>
      <c r="C19" s="6"/>
      <c r="D19" s="6"/>
      <c r="E19" s="6"/>
      <c r="F19" s="6"/>
      <c r="G19" s="6"/>
      <c r="H19" s="6"/>
      <c r="I19" s="9"/>
    </row>
    <row r="20" spans="1:9" ht="14.25" customHeight="1">
      <c r="A20" s="4" t="s">
        <v>384</v>
      </c>
      <c r="B20" s="6" t="s">
        <v>387</v>
      </c>
      <c r="C20" s="6"/>
      <c r="D20" s="6"/>
      <c r="E20" s="6"/>
      <c r="F20" s="6"/>
      <c r="G20" s="6"/>
      <c r="H20" s="6"/>
      <c r="I20" s="9"/>
    </row>
    <row r="21" spans="1:9" ht="14.25" customHeight="1">
      <c r="A21" s="4" t="s">
        <v>395</v>
      </c>
      <c r="B21" s="6" t="s">
        <v>396</v>
      </c>
      <c r="C21" s="6"/>
      <c r="D21" s="6"/>
      <c r="E21" s="6"/>
      <c r="F21" s="6"/>
      <c r="G21" s="6" t="s">
        <v>209</v>
      </c>
      <c r="H21" s="6"/>
      <c r="I21" s="9"/>
    </row>
    <row r="22" spans="1:9" ht="14.25" customHeight="1">
      <c r="A22" s="4" t="s">
        <v>403</v>
      </c>
      <c r="B22" s="6" t="s">
        <v>406</v>
      </c>
      <c r="C22" s="6"/>
      <c r="D22" s="6"/>
      <c r="E22" s="6"/>
      <c r="F22" s="6"/>
      <c r="G22" s="6"/>
      <c r="H22" s="6"/>
      <c r="I22" s="9"/>
    </row>
    <row r="23" spans="1:9" ht="14.25" customHeight="1">
      <c r="A23" s="4" t="s">
        <v>412</v>
      </c>
      <c r="B23" s="6" t="s">
        <v>413</v>
      </c>
      <c r="C23" s="6" t="s">
        <v>414</v>
      </c>
      <c r="D23" s="6">
        <v>60641</v>
      </c>
      <c r="E23" s="6"/>
      <c r="F23" s="6" t="s">
        <v>415</v>
      </c>
      <c r="G23" s="6" t="s">
        <v>416</v>
      </c>
      <c r="H23" s="6" t="s">
        <v>50</v>
      </c>
      <c r="I23" s="9" t="s">
        <v>418</v>
      </c>
    </row>
    <row r="24" spans="1:9" ht="14.25" customHeight="1">
      <c r="A24" s="4" t="s">
        <v>419</v>
      </c>
      <c r="B24" s="6" t="s">
        <v>420</v>
      </c>
      <c r="C24" s="6" t="s">
        <v>421</v>
      </c>
      <c r="D24" s="6">
        <v>60645</v>
      </c>
      <c r="E24" s="6"/>
      <c r="F24" s="6"/>
      <c r="G24" s="6" t="s">
        <v>416</v>
      </c>
      <c r="H24" s="6" t="s">
        <v>50</v>
      </c>
      <c r="I24" s="9" t="s">
        <v>418</v>
      </c>
    </row>
    <row r="25" spans="1:9" ht="14.25" customHeight="1">
      <c r="A25" s="4"/>
      <c r="B25" s="6" t="s">
        <v>427</v>
      </c>
      <c r="C25" s="6" t="s">
        <v>428</v>
      </c>
      <c r="D25" s="6">
        <v>60714</v>
      </c>
      <c r="E25" s="6"/>
      <c r="F25" s="6"/>
      <c r="G25" s="6" t="s">
        <v>431</v>
      </c>
      <c r="H25" s="6" t="s">
        <v>50</v>
      </c>
      <c r="I25" s="9" t="s">
        <v>432</v>
      </c>
    </row>
    <row r="26" spans="1:9" ht="14.25" customHeight="1">
      <c r="A26" s="4"/>
      <c r="B26" s="6"/>
      <c r="C26" s="6"/>
      <c r="D26" s="6"/>
      <c r="E26" s="6"/>
      <c r="F26" s="6"/>
      <c r="G26" s="6"/>
      <c r="H26" s="6"/>
      <c r="I26" s="9"/>
    </row>
    <row r="27" spans="1:9" ht="14.25" customHeight="1">
      <c r="A27" s="4"/>
      <c r="B27" s="6"/>
      <c r="C27" s="6"/>
      <c r="D27" s="6"/>
      <c r="E27" s="6"/>
      <c r="F27" s="6"/>
      <c r="G27" s="6"/>
      <c r="H27" s="6"/>
      <c r="I27" s="9"/>
    </row>
    <row r="28" spans="1:9" ht="14.25" customHeight="1">
      <c r="A28" s="4"/>
      <c r="B28" s="6"/>
      <c r="C28" s="6"/>
      <c r="D28" s="6"/>
      <c r="E28" s="6"/>
      <c r="F28" s="6"/>
      <c r="G28" s="6"/>
      <c r="H28" s="6"/>
      <c r="I28" s="9"/>
    </row>
    <row r="29" spans="1:9" ht="14.25" customHeight="1">
      <c r="A29" s="4"/>
      <c r="B29" s="6"/>
      <c r="C29" s="6"/>
      <c r="D29" s="6"/>
      <c r="E29" s="6"/>
      <c r="F29" s="6"/>
      <c r="G29" s="6"/>
      <c r="H29" s="6"/>
      <c r="I29" s="9"/>
    </row>
    <row r="30" spans="1:9" ht="14.25" customHeight="1">
      <c r="A30" s="4"/>
      <c r="B30" s="6"/>
      <c r="C30" s="6"/>
      <c r="D30" s="6"/>
      <c r="E30" s="6"/>
      <c r="F30" s="6"/>
      <c r="G30" s="6"/>
      <c r="H30" s="6"/>
      <c r="I30" s="9"/>
    </row>
    <row r="31" spans="1:9" ht="14.25" customHeight="1">
      <c r="A31" s="4"/>
      <c r="B31" s="6"/>
      <c r="C31" s="6"/>
      <c r="D31" s="6"/>
      <c r="E31" s="6"/>
      <c r="F31" s="6"/>
      <c r="G31" s="6"/>
      <c r="H31" s="6"/>
      <c r="I31" s="9"/>
    </row>
    <row r="32" spans="1:9" ht="14.25" customHeight="1">
      <c r="A32" s="4"/>
      <c r="B32" s="6"/>
      <c r="C32" s="6"/>
      <c r="D32" s="6"/>
      <c r="E32" s="6"/>
      <c r="F32" s="6"/>
      <c r="G32" s="6"/>
      <c r="H32" s="6"/>
      <c r="I32" s="9"/>
    </row>
    <row r="33" spans="1:9" ht="14.25" customHeight="1">
      <c r="A33" s="4"/>
      <c r="B33" s="6"/>
      <c r="C33" s="6"/>
      <c r="D33" s="6"/>
      <c r="E33" s="6"/>
      <c r="F33" s="6"/>
      <c r="G33" s="6"/>
      <c r="H33" s="6"/>
      <c r="I33" s="9"/>
    </row>
    <row r="34" spans="1:9" ht="14.25" customHeight="1">
      <c r="A34" s="4"/>
      <c r="B34" s="6"/>
      <c r="C34" s="6"/>
      <c r="D34" s="6"/>
      <c r="E34" s="6"/>
      <c r="F34" s="6"/>
      <c r="G34" s="6"/>
      <c r="H34" s="6"/>
      <c r="I34" s="9"/>
    </row>
    <row r="35" spans="1:9" ht="14.25" customHeight="1">
      <c r="A35" s="4"/>
      <c r="B35" s="6"/>
      <c r="C35" s="6"/>
      <c r="D35" s="6"/>
      <c r="E35" s="6"/>
      <c r="F35" s="6"/>
      <c r="G35" s="6"/>
      <c r="H35" s="6"/>
      <c r="I35" s="9"/>
    </row>
    <row r="36" spans="1:9" ht="14.25" customHeight="1">
      <c r="A36" s="4"/>
      <c r="B36" s="6"/>
      <c r="C36" s="6"/>
      <c r="D36" s="6"/>
      <c r="E36" s="6"/>
      <c r="F36" s="6"/>
      <c r="G36" s="6"/>
      <c r="H36" s="6"/>
      <c r="I36" s="9"/>
    </row>
    <row r="37" spans="1:9" ht="14.25" customHeight="1">
      <c r="A37" s="4"/>
      <c r="B37" s="6"/>
      <c r="C37" s="6"/>
      <c r="D37" s="6"/>
      <c r="E37" s="6"/>
      <c r="F37" s="6"/>
      <c r="G37" s="6"/>
      <c r="H37" s="6"/>
      <c r="I37" s="9"/>
    </row>
    <row r="38" spans="1:9" ht="14.25" customHeight="1">
      <c r="A38" s="4"/>
      <c r="B38" s="6"/>
      <c r="C38" s="6"/>
      <c r="D38" s="6"/>
      <c r="E38" s="6"/>
      <c r="F38" s="6"/>
      <c r="G38" s="6"/>
      <c r="H38" s="6"/>
      <c r="I38" s="9"/>
    </row>
    <row r="39" spans="1:9" ht="14.25" customHeight="1">
      <c r="A39" s="4"/>
      <c r="B39" s="6"/>
      <c r="C39" s="6"/>
      <c r="D39" s="6"/>
      <c r="E39" s="6"/>
      <c r="F39" s="6"/>
      <c r="G39" s="6"/>
      <c r="H39" s="6"/>
      <c r="I39" s="9"/>
    </row>
    <row r="40" spans="1:9" ht="14.25" customHeight="1">
      <c r="A40" s="4"/>
      <c r="B40" s="6"/>
      <c r="C40" s="6"/>
      <c r="D40" s="6"/>
      <c r="E40" s="6"/>
      <c r="F40" s="6"/>
      <c r="G40" s="6"/>
      <c r="H40" s="6"/>
      <c r="I40" s="9"/>
    </row>
    <row r="41" spans="1:9" ht="14.25" customHeight="1">
      <c r="A41" s="4"/>
      <c r="B41" s="6"/>
      <c r="C41" s="6"/>
      <c r="D41" s="6"/>
      <c r="E41" s="6"/>
      <c r="F41" s="6"/>
      <c r="G41" s="6"/>
      <c r="H41" s="6"/>
      <c r="I41" s="9"/>
    </row>
    <row r="42" spans="1:9" ht="14.25" customHeight="1">
      <c r="A42" s="4"/>
      <c r="B42" s="6"/>
      <c r="C42" s="6"/>
      <c r="D42" s="6"/>
      <c r="E42" s="6"/>
      <c r="F42" s="6"/>
      <c r="G42" s="6"/>
      <c r="H42" s="6"/>
      <c r="I42" s="9"/>
    </row>
    <row r="43" spans="1:9" ht="14.25" customHeight="1">
      <c r="A43" s="4"/>
      <c r="B43" s="6"/>
      <c r="C43" s="6"/>
      <c r="D43" s="6"/>
      <c r="E43" s="6"/>
      <c r="F43" s="6"/>
      <c r="G43" s="6"/>
      <c r="H43" s="6"/>
      <c r="I43" s="9"/>
    </row>
    <row r="44" spans="1:9" ht="14.25" customHeight="1">
      <c r="A44" s="4"/>
      <c r="B44" s="6"/>
      <c r="C44" s="6"/>
      <c r="D44" s="6"/>
      <c r="E44" s="6"/>
      <c r="F44" s="6"/>
      <c r="G44" s="6"/>
      <c r="H44" s="6"/>
      <c r="I44" s="9"/>
    </row>
    <row r="45" spans="1:9" ht="14.25" customHeight="1">
      <c r="A45" s="4"/>
      <c r="B45" s="6"/>
      <c r="C45" s="6"/>
      <c r="D45" s="6"/>
      <c r="E45" s="6"/>
      <c r="F45" s="6"/>
      <c r="G45" s="6"/>
      <c r="H45" s="6"/>
      <c r="I45" s="9"/>
    </row>
    <row r="46" spans="1:9" ht="14.25" customHeight="1">
      <c r="A46" s="4"/>
      <c r="B46" s="6"/>
      <c r="C46" s="6"/>
      <c r="D46" s="6"/>
      <c r="E46" s="6"/>
      <c r="F46" s="6"/>
      <c r="G46" s="6"/>
      <c r="H46" s="6"/>
      <c r="I46" s="9"/>
    </row>
    <row r="47" spans="1:9" ht="14.25" customHeight="1">
      <c r="A47" s="4"/>
      <c r="B47" s="6"/>
      <c r="C47" s="6"/>
      <c r="D47" s="6"/>
      <c r="E47" s="6"/>
      <c r="F47" s="6"/>
      <c r="G47" s="6"/>
      <c r="H47" s="6"/>
      <c r="I47" s="9"/>
    </row>
    <row r="48" spans="1:9" ht="14.25" customHeight="1">
      <c r="A48" s="4"/>
      <c r="B48" s="6"/>
      <c r="C48" s="6"/>
      <c r="D48" s="6"/>
      <c r="E48" s="6"/>
      <c r="F48" s="6"/>
      <c r="G48" s="6"/>
      <c r="H48" s="6"/>
      <c r="I48" s="9"/>
    </row>
    <row r="49" spans="1:9" ht="14.25" customHeight="1">
      <c r="A49" s="4"/>
      <c r="B49" s="6"/>
      <c r="C49" s="6"/>
      <c r="D49" s="6"/>
      <c r="E49" s="6"/>
      <c r="F49" s="6"/>
      <c r="G49" s="6"/>
      <c r="H49" s="6"/>
      <c r="I49" s="9"/>
    </row>
    <row r="50" spans="1:9" ht="14.25" customHeight="1">
      <c r="A50" s="4"/>
      <c r="B50" s="6"/>
      <c r="C50" s="6"/>
      <c r="D50" s="6"/>
      <c r="E50" s="6"/>
      <c r="F50" s="6"/>
      <c r="G50" s="6"/>
      <c r="H50" s="6"/>
      <c r="I50" s="9"/>
    </row>
    <row r="51" spans="1:9" ht="14.25" customHeight="1">
      <c r="A51" s="4"/>
      <c r="B51" s="6"/>
      <c r="C51" s="6"/>
      <c r="D51" s="6"/>
      <c r="E51" s="6"/>
      <c r="F51" s="6"/>
      <c r="G51" s="6"/>
      <c r="H51" s="6"/>
      <c r="I51" s="9"/>
    </row>
    <row r="52" spans="1:9" ht="14.25" customHeight="1">
      <c r="A52" s="4"/>
      <c r="B52" s="6"/>
      <c r="C52" s="6"/>
      <c r="D52" s="6"/>
      <c r="E52" s="6"/>
      <c r="F52" s="6"/>
      <c r="G52" s="6"/>
      <c r="H52" s="6"/>
      <c r="I52" s="9"/>
    </row>
    <row r="53" spans="1:9" ht="14.25" customHeight="1">
      <c r="A53" s="4"/>
      <c r="B53" s="6"/>
      <c r="C53" s="6"/>
      <c r="D53" s="6"/>
      <c r="E53" s="6"/>
      <c r="F53" s="6"/>
      <c r="G53" s="6"/>
      <c r="H53" s="6"/>
      <c r="I53" s="9"/>
    </row>
    <row r="54" spans="1:9" ht="14.25" customHeight="1">
      <c r="A54" s="4"/>
      <c r="B54" s="6"/>
      <c r="C54" s="6"/>
      <c r="D54" s="6"/>
      <c r="E54" s="6"/>
      <c r="F54" s="6"/>
      <c r="G54" s="6"/>
      <c r="H54" s="6"/>
      <c r="I54" s="9"/>
    </row>
    <row r="55" spans="1:9" ht="14.25" customHeight="1">
      <c r="A55" s="4"/>
      <c r="B55" s="6"/>
      <c r="C55" s="6"/>
      <c r="D55" s="6"/>
      <c r="E55" s="6"/>
      <c r="F55" s="6"/>
      <c r="G55" s="6"/>
      <c r="H55" s="6"/>
      <c r="I55" s="9"/>
    </row>
    <row r="56" spans="1:9" ht="14.25" customHeight="1">
      <c r="A56" s="4"/>
      <c r="B56" s="6"/>
      <c r="C56" s="6"/>
      <c r="D56" s="6"/>
      <c r="E56" s="6"/>
      <c r="F56" s="6"/>
      <c r="G56" s="6"/>
      <c r="H56" s="6"/>
      <c r="I56" s="9"/>
    </row>
    <row r="57" spans="1:9" ht="14.25" customHeight="1">
      <c r="A57" s="4"/>
      <c r="B57" s="6"/>
      <c r="C57" s="6"/>
      <c r="D57" s="6"/>
      <c r="E57" s="6"/>
      <c r="F57" s="6"/>
      <c r="G57" s="6"/>
      <c r="H57" s="6"/>
      <c r="I57" s="9"/>
    </row>
    <row r="58" spans="1:9" ht="14.25" customHeight="1">
      <c r="A58" s="4"/>
      <c r="B58" s="6"/>
      <c r="C58" s="6"/>
      <c r="D58" s="6"/>
      <c r="E58" s="6"/>
      <c r="F58" s="6"/>
      <c r="G58" s="6"/>
      <c r="H58" s="6"/>
      <c r="I58" s="9"/>
    </row>
    <row r="59" spans="1:9" ht="14.25" customHeight="1">
      <c r="A59" s="4"/>
      <c r="B59" s="6"/>
      <c r="C59" s="6"/>
      <c r="D59" s="6"/>
      <c r="E59" s="6"/>
      <c r="F59" s="6"/>
      <c r="G59" s="6"/>
      <c r="H59" s="6"/>
      <c r="I59" s="9"/>
    </row>
    <row r="60" spans="1:9" ht="14.25" customHeight="1">
      <c r="A60" s="4"/>
      <c r="B60" s="6"/>
      <c r="C60" s="6"/>
      <c r="D60" s="6"/>
      <c r="E60" s="6"/>
      <c r="F60" s="6"/>
      <c r="G60" s="6"/>
      <c r="H60" s="6"/>
      <c r="I60" s="9"/>
    </row>
    <row r="61" spans="1:9" ht="14.25" customHeight="1">
      <c r="A61" s="4"/>
      <c r="B61" s="6"/>
      <c r="C61" s="6"/>
      <c r="D61" s="6"/>
      <c r="E61" s="6"/>
      <c r="F61" s="6"/>
      <c r="G61" s="6"/>
      <c r="H61" s="6"/>
      <c r="I61" s="9"/>
    </row>
    <row r="62" spans="1:9" ht="14.25" customHeight="1">
      <c r="A62" s="4"/>
      <c r="B62" s="6"/>
      <c r="C62" s="6"/>
      <c r="D62" s="6"/>
      <c r="E62" s="6"/>
      <c r="F62" s="6"/>
      <c r="G62" s="6"/>
      <c r="H62" s="6"/>
      <c r="I62" s="9"/>
    </row>
    <row r="63" spans="1:9" ht="14.25" customHeight="1">
      <c r="A63" s="4"/>
      <c r="B63" s="6"/>
      <c r="C63" s="6"/>
      <c r="D63" s="6"/>
      <c r="E63" s="6"/>
      <c r="F63" s="6"/>
      <c r="G63" s="6"/>
      <c r="H63" s="6"/>
      <c r="I63" s="9"/>
    </row>
    <row r="64" spans="1:9" ht="14.25" customHeight="1">
      <c r="A64" s="4"/>
      <c r="B64" s="6"/>
      <c r="C64" s="6"/>
      <c r="D64" s="6"/>
      <c r="E64" s="6"/>
      <c r="F64" s="6"/>
      <c r="G64" s="6"/>
      <c r="H64" s="6"/>
      <c r="I64" s="9"/>
    </row>
    <row r="65" spans="1:9" ht="14.25" customHeight="1">
      <c r="A65" s="4"/>
      <c r="B65" s="6"/>
      <c r="C65" s="6"/>
      <c r="D65" s="6"/>
      <c r="E65" s="6"/>
      <c r="F65" s="6"/>
      <c r="G65" s="6"/>
      <c r="H65" s="6"/>
      <c r="I65" s="9"/>
    </row>
    <row r="66" spans="1:9" ht="14.25" customHeight="1">
      <c r="A66" s="4"/>
      <c r="B66" s="6"/>
      <c r="C66" s="6"/>
      <c r="D66" s="6"/>
      <c r="E66" s="6"/>
      <c r="F66" s="6"/>
      <c r="G66" s="6"/>
      <c r="H66" s="6"/>
      <c r="I66" s="9"/>
    </row>
    <row r="67" spans="1:9" ht="14.25" customHeight="1">
      <c r="A67" s="4"/>
      <c r="B67" s="6"/>
      <c r="C67" s="6"/>
      <c r="D67" s="6"/>
      <c r="E67" s="6"/>
      <c r="F67" s="6"/>
      <c r="G67" s="6"/>
      <c r="H67" s="6"/>
      <c r="I67" s="9"/>
    </row>
    <row r="68" spans="1:9" ht="14.25" customHeight="1">
      <c r="A68" s="4"/>
      <c r="B68" s="6"/>
      <c r="C68" s="6"/>
      <c r="D68" s="6"/>
      <c r="E68" s="6"/>
      <c r="F68" s="6"/>
      <c r="G68" s="6"/>
      <c r="H68" s="6"/>
      <c r="I68" s="9"/>
    </row>
    <row r="69" spans="1:9" ht="14.25" customHeight="1">
      <c r="A69" s="4"/>
      <c r="B69" s="6"/>
      <c r="C69" s="6"/>
      <c r="D69" s="6"/>
      <c r="E69" s="6"/>
      <c r="F69" s="6"/>
      <c r="G69" s="6"/>
      <c r="H69" s="6"/>
      <c r="I69" s="9"/>
    </row>
    <row r="70" spans="1:9" ht="14.25" customHeight="1">
      <c r="A70" s="4"/>
      <c r="B70" s="6"/>
      <c r="C70" s="6"/>
      <c r="D70" s="6"/>
      <c r="E70" s="6"/>
      <c r="F70" s="6"/>
      <c r="G70" s="6"/>
      <c r="H70" s="6"/>
      <c r="I70" s="9"/>
    </row>
    <row r="71" spans="1:9" ht="14.25" customHeight="1">
      <c r="A71" s="4"/>
      <c r="B71" s="6"/>
      <c r="C71" s="6"/>
      <c r="D71" s="6"/>
      <c r="E71" s="6"/>
      <c r="F71" s="6"/>
      <c r="G71" s="6"/>
      <c r="H71" s="6"/>
      <c r="I71" s="9"/>
    </row>
    <row r="72" spans="1:9" ht="14.25" customHeight="1">
      <c r="A72" s="4"/>
      <c r="B72" s="6"/>
      <c r="C72" s="6"/>
      <c r="D72" s="6"/>
      <c r="E72" s="6"/>
      <c r="F72" s="6"/>
      <c r="G72" s="6"/>
      <c r="H72" s="6"/>
      <c r="I72" s="9"/>
    </row>
    <row r="73" spans="1:9" ht="14.25" customHeight="1">
      <c r="A73" s="4"/>
      <c r="B73" s="6"/>
      <c r="C73" s="6"/>
      <c r="D73" s="6"/>
      <c r="E73" s="6"/>
      <c r="F73" s="6"/>
      <c r="G73" s="6"/>
      <c r="H73" s="6"/>
      <c r="I73" s="9"/>
    </row>
    <row r="74" spans="1:9" ht="14.25" customHeight="1">
      <c r="A74" s="4"/>
      <c r="B74" s="6"/>
      <c r="C74" s="6"/>
      <c r="D74" s="6"/>
      <c r="E74" s="6"/>
      <c r="F74" s="6"/>
      <c r="G74" s="6"/>
      <c r="H74" s="6"/>
      <c r="I74" s="9"/>
    </row>
    <row r="75" spans="1:9" ht="14.25" customHeight="1">
      <c r="A75" s="4"/>
      <c r="B75" s="6"/>
      <c r="C75" s="6"/>
      <c r="D75" s="6"/>
      <c r="E75" s="6"/>
      <c r="F75" s="6"/>
      <c r="G75" s="6"/>
      <c r="H75" s="6"/>
      <c r="I75" s="9"/>
    </row>
    <row r="76" spans="1:9" ht="14.25" customHeight="1">
      <c r="A76" s="4"/>
      <c r="B76" s="6"/>
      <c r="C76" s="6"/>
      <c r="D76" s="6"/>
      <c r="E76" s="6"/>
      <c r="F76" s="6"/>
      <c r="G76" s="6"/>
      <c r="H76" s="6"/>
      <c r="I76" s="9"/>
    </row>
    <row r="77" spans="1:9" ht="14.25" customHeight="1">
      <c r="A77" s="4"/>
      <c r="B77" s="6"/>
      <c r="C77" s="6"/>
      <c r="D77" s="6"/>
      <c r="E77" s="6"/>
      <c r="F77" s="6"/>
      <c r="G77" s="6"/>
      <c r="H77" s="6"/>
      <c r="I77" s="9"/>
    </row>
    <row r="78" spans="1:9" ht="14.25" customHeight="1">
      <c r="A78" s="4"/>
      <c r="B78" s="6"/>
      <c r="C78" s="6"/>
      <c r="D78" s="6"/>
      <c r="E78" s="6"/>
      <c r="F78" s="6"/>
      <c r="G78" s="6"/>
      <c r="H78" s="6"/>
      <c r="I78" s="9"/>
    </row>
    <row r="79" spans="1:9" ht="14.25" customHeight="1">
      <c r="A79" s="4"/>
      <c r="B79" s="6"/>
      <c r="C79" s="6"/>
      <c r="D79" s="6"/>
      <c r="E79" s="6"/>
      <c r="F79" s="6"/>
      <c r="G79" s="6"/>
      <c r="H79" s="6"/>
      <c r="I79" s="9"/>
    </row>
    <row r="80" spans="1:9" ht="14.25" customHeight="1">
      <c r="A80" s="4"/>
      <c r="B80" s="6"/>
      <c r="C80" s="6"/>
      <c r="D80" s="6"/>
      <c r="E80" s="6"/>
      <c r="F80" s="6"/>
      <c r="G80" s="6"/>
      <c r="H80" s="6"/>
      <c r="I80" s="9"/>
    </row>
    <row r="81" spans="1:9" ht="14.25" customHeight="1">
      <c r="A81" s="4"/>
      <c r="B81" s="6"/>
      <c r="C81" s="6"/>
      <c r="D81" s="6"/>
      <c r="E81" s="6"/>
      <c r="F81" s="6"/>
      <c r="G81" s="6"/>
      <c r="H81" s="6"/>
      <c r="I81" s="9"/>
    </row>
    <row r="82" spans="1:9" ht="14.25" customHeight="1">
      <c r="A82" s="4"/>
      <c r="B82" s="6"/>
      <c r="C82" s="6"/>
      <c r="D82" s="6"/>
      <c r="E82" s="6"/>
      <c r="F82" s="6"/>
      <c r="G82" s="6"/>
      <c r="H82" s="6"/>
      <c r="I82" s="9"/>
    </row>
    <row r="83" spans="1:9" ht="14.25" customHeight="1">
      <c r="A83" s="4"/>
      <c r="B83" s="6"/>
      <c r="C83" s="6"/>
      <c r="D83" s="6"/>
      <c r="E83" s="6"/>
      <c r="F83" s="6"/>
      <c r="G83" s="6"/>
      <c r="H83" s="6"/>
      <c r="I83" s="9"/>
    </row>
    <row r="84" spans="1:9" ht="14.25" customHeight="1">
      <c r="A84" s="4"/>
      <c r="B84" s="6"/>
      <c r="C84" s="6"/>
      <c r="D84" s="6"/>
      <c r="E84" s="6"/>
      <c r="F84" s="6"/>
      <c r="G84" s="6"/>
      <c r="H84" s="6"/>
      <c r="I84" s="9"/>
    </row>
    <row r="85" spans="1:9" ht="14.25" customHeight="1">
      <c r="A85" s="4"/>
      <c r="B85" s="6"/>
      <c r="C85" s="6"/>
      <c r="D85" s="6"/>
      <c r="E85" s="6"/>
      <c r="F85" s="6"/>
      <c r="G85" s="6"/>
      <c r="H85" s="6"/>
      <c r="I85" s="9"/>
    </row>
    <row r="86" spans="1:9" ht="14.25" customHeight="1">
      <c r="A86" s="4"/>
      <c r="B86" s="6"/>
      <c r="C86" s="6"/>
      <c r="D86" s="6"/>
      <c r="E86" s="6"/>
      <c r="F86" s="6"/>
      <c r="G86" s="6"/>
      <c r="H86" s="6"/>
      <c r="I86" s="9"/>
    </row>
    <row r="87" spans="1:9" ht="14.25" customHeight="1">
      <c r="A87" s="4"/>
      <c r="B87" s="6"/>
      <c r="C87" s="6"/>
      <c r="D87" s="6"/>
      <c r="E87" s="6"/>
      <c r="F87" s="6"/>
      <c r="G87" s="6"/>
      <c r="H87" s="6"/>
      <c r="I87" s="9"/>
    </row>
    <row r="88" spans="1:9" ht="14.25" customHeight="1">
      <c r="A88" s="4"/>
      <c r="B88" s="6"/>
      <c r="C88" s="6"/>
      <c r="D88" s="6"/>
      <c r="E88" s="6"/>
      <c r="F88" s="6"/>
      <c r="G88" s="6"/>
      <c r="H88" s="6"/>
      <c r="I88" s="9"/>
    </row>
    <row r="89" spans="1:9" ht="14.25" customHeight="1">
      <c r="A89" s="4"/>
      <c r="B89" s="6"/>
      <c r="C89" s="6"/>
      <c r="D89" s="6"/>
      <c r="E89" s="6"/>
      <c r="F89" s="6"/>
      <c r="G89" s="6"/>
      <c r="H89" s="6"/>
      <c r="I89" s="9"/>
    </row>
    <row r="90" spans="1:9" ht="14.25" customHeight="1">
      <c r="A90" s="4"/>
      <c r="B90" s="6"/>
      <c r="C90" s="6"/>
      <c r="D90" s="6"/>
      <c r="E90" s="6"/>
      <c r="F90" s="6"/>
      <c r="G90" s="6"/>
      <c r="H90" s="6"/>
      <c r="I90" s="9"/>
    </row>
    <row r="91" spans="1:9" ht="14.25" customHeight="1">
      <c r="A91" s="4"/>
      <c r="B91" s="6"/>
      <c r="C91" s="6"/>
      <c r="D91" s="6"/>
      <c r="E91" s="6"/>
      <c r="F91" s="6"/>
      <c r="G91" s="6"/>
      <c r="H91" s="6"/>
      <c r="I91" s="9"/>
    </row>
    <row r="92" spans="1:9" ht="14.25" customHeight="1">
      <c r="A92" s="4"/>
      <c r="B92" s="6"/>
      <c r="C92" s="6"/>
      <c r="D92" s="6"/>
      <c r="E92" s="6"/>
      <c r="F92" s="6"/>
      <c r="G92" s="6"/>
      <c r="H92" s="6"/>
      <c r="I92" s="9"/>
    </row>
    <row r="93" spans="1:9" ht="14.25" customHeight="1">
      <c r="A93" s="4"/>
      <c r="B93" s="6"/>
      <c r="C93" s="6"/>
      <c r="D93" s="6"/>
      <c r="E93" s="6"/>
      <c r="F93" s="6"/>
      <c r="G93" s="6"/>
      <c r="H93" s="6"/>
      <c r="I93" s="9"/>
    </row>
    <row r="94" spans="1:9" ht="14.25" customHeight="1">
      <c r="A94" s="4"/>
      <c r="B94" s="6"/>
      <c r="C94" s="6"/>
      <c r="D94" s="6"/>
      <c r="E94" s="6"/>
      <c r="F94" s="6"/>
      <c r="G94" s="6"/>
      <c r="H94" s="6"/>
      <c r="I94" s="9"/>
    </row>
    <row r="95" spans="1:9" ht="14.25" customHeight="1">
      <c r="A95" s="4"/>
      <c r="B95" s="6"/>
      <c r="C95" s="6"/>
      <c r="D95" s="6"/>
      <c r="E95" s="6"/>
      <c r="F95" s="6"/>
      <c r="G95" s="6"/>
      <c r="H95" s="6"/>
      <c r="I95" s="9"/>
    </row>
    <row r="96" spans="1:9" ht="14.25" customHeight="1">
      <c r="A96" s="4"/>
      <c r="B96" s="6"/>
      <c r="C96" s="6"/>
      <c r="D96" s="6"/>
      <c r="E96" s="6"/>
      <c r="F96" s="6"/>
      <c r="G96" s="6"/>
      <c r="H96" s="6"/>
      <c r="I96" s="9"/>
    </row>
    <row r="97" spans="1:9" ht="14.25" customHeight="1">
      <c r="A97" s="4"/>
      <c r="B97" s="6"/>
      <c r="C97" s="6"/>
      <c r="D97" s="6"/>
      <c r="E97" s="6"/>
      <c r="F97" s="6"/>
      <c r="G97" s="6"/>
      <c r="H97" s="6"/>
      <c r="I97" s="9"/>
    </row>
    <row r="98" spans="1:9" ht="14.25" customHeight="1">
      <c r="A98" s="4"/>
      <c r="B98" s="6"/>
      <c r="C98" s="6"/>
      <c r="D98" s="6"/>
      <c r="E98" s="6"/>
      <c r="F98" s="6"/>
      <c r="G98" s="6"/>
      <c r="H98" s="6"/>
      <c r="I98" s="9"/>
    </row>
    <row r="99" spans="1:9" ht="14.25" customHeight="1">
      <c r="A99" s="4"/>
      <c r="B99" s="6"/>
      <c r="C99" s="6"/>
      <c r="D99" s="6"/>
      <c r="E99" s="6"/>
      <c r="F99" s="6"/>
      <c r="G99" s="6"/>
      <c r="H99" s="6"/>
      <c r="I99" s="9"/>
    </row>
    <row r="100" spans="1:9" ht="14.25" customHeight="1">
      <c r="A100" s="4"/>
      <c r="B100" s="6"/>
      <c r="C100" s="6"/>
      <c r="D100" s="6"/>
      <c r="E100" s="6"/>
      <c r="F100" s="6"/>
      <c r="G100" s="6"/>
      <c r="H100" s="6"/>
      <c r="I100" s="9"/>
    </row>
    <row r="101" spans="1:9" ht="14.25" customHeight="1">
      <c r="A101" s="4"/>
      <c r="B101" s="6"/>
      <c r="C101" s="6"/>
      <c r="D101" s="6"/>
      <c r="E101" s="6"/>
      <c r="F101" s="6"/>
      <c r="G101" s="6"/>
      <c r="H101" s="6"/>
      <c r="I101" s="9"/>
    </row>
    <row r="102" spans="1:9" ht="14.25" customHeight="1">
      <c r="A102" s="4"/>
      <c r="B102" s="6"/>
      <c r="C102" s="6"/>
      <c r="D102" s="6"/>
      <c r="E102" s="6"/>
      <c r="F102" s="6"/>
      <c r="G102" s="6"/>
      <c r="H102" s="6"/>
      <c r="I102" s="9"/>
    </row>
    <row r="103" spans="1:9" ht="14.25" customHeight="1">
      <c r="A103" s="4"/>
      <c r="B103" s="6"/>
      <c r="C103" s="6"/>
      <c r="D103" s="6"/>
      <c r="E103" s="6"/>
      <c r="F103" s="6"/>
      <c r="G103" s="6"/>
      <c r="H103" s="6"/>
      <c r="I103" s="9"/>
    </row>
    <row r="104" spans="1:9" ht="14.25" customHeight="1">
      <c r="A104" s="4"/>
      <c r="B104" s="6"/>
      <c r="C104" s="6"/>
      <c r="D104" s="6"/>
      <c r="E104" s="6"/>
      <c r="F104" s="6"/>
      <c r="G104" s="6"/>
      <c r="H104" s="6"/>
      <c r="I104" s="9"/>
    </row>
    <row r="105" spans="1:9" ht="14.25" customHeight="1">
      <c r="A105" s="4"/>
      <c r="B105" s="6"/>
      <c r="C105" s="6"/>
      <c r="D105" s="6"/>
      <c r="E105" s="6"/>
      <c r="F105" s="6"/>
      <c r="G105" s="6"/>
      <c r="H105" s="6"/>
      <c r="I105" s="9"/>
    </row>
    <row r="106" spans="1:9" ht="14.25" customHeight="1">
      <c r="A106" s="4"/>
      <c r="B106" s="6"/>
      <c r="C106" s="6"/>
      <c r="D106" s="6"/>
      <c r="E106" s="6"/>
      <c r="F106" s="6"/>
      <c r="G106" s="6"/>
      <c r="H106" s="6"/>
      <c r="I106" s="9"/>
    </row>
    <row r="107" spans="1:9" ht="14.25" customHeight="1">
      <c r="A107" s="4"/>
      <c r="B107" s="6"/>
      <c r="C107" s="6"/>
      <c r="D107" s="6"/>
      <c r="E107" s="6"/>
      <c r="F107" s="6"/>
      <c r="G107" s="6"/>
      <c r="H107" s="6"/>
      <c r="I107" s="9"/>
    </row>
    <row r="108" spans="1:9" ht="14.25" customHeight="1">
      <c r="A108" s="4"/>
      <c r="B108" s="6"/>
      <c r="C108" s="6"/>
      <c r="D108" s="6"/>
      <c r="E108" s="6"/>
      <c r="F108" s="6"/>
      <c r="G108" s="6"/>
      <c r="H108" s="6"/>
      <c r="I108" s="9"/>
    </row>
    <row r="109" spans="1:9" ht="14.25" customHeight="1">
      <c r="A109" s="4"/>
      <c r="B109" s="6"/>
      <c r="C109" s="6"/>
      <c r="D109" s="6"/>
      <c r="E109" s="6"/>
      <c r="F109" s="6"/>
      <c r="G109" s="6"/>
      <c r="H109" s="6"/>
      <c r="I109" s="9"/>
    </row>
    <row r="110" spans="1:9" ht="14.25" customHeight="1">
      <c r="A110" s="4"/>
      <c r="B110" s="6"/>
      <c r="C110" s="6"/>
      <c r="D110" s="6"/>
      <c r="E110" s="6"/>
      <c r="F110" s="6"/>
      <c r="G110" s="6"/>
      <c r="H110" s="6"/>
      <c r="I110" s="9"/>
    </row>
    <row r="111" spans="1:9" ht="14.25" customHeight="1">
      <c r="A111" s="4"/>
      <c r="B111" s="6"/>
      <c r="C111" s="6"/>
      <c r="D111" s="6"/>
      <c r="E111" s="6"/>
      <c r="F111" s="6"/>
      <c r="G111" s="6"/>
      <c r="H111" s="6"/>
      <c r="I111" s="9"/>
    </row>
    <row r="112" spans="1:9" ht="14.25" customHeight="1">
      <c r="A112" s="4"/>
      <c r="B112" s="6"/>
      <c r="C112" s="6"/>
      <c r="D112" s="6"/>
      <c r="E112" s="6"/>
      <c r="F112" s="6"/>
      <c r="G112" s="6"/>
      <c r="H112" s="6"/>
      <c r="I112" s="9"/>
    </row>
    <row r="113" spans="1:9" ht="14.25" customHeight="1">
      <c r="A113" s="4"/>
      <c r="B113" s="6"/>
      <c r="C113" s="6"/>
      <c r="D113" s="6"/>
      <c r="E113" s="6"/>
      <c r="F113" s="6"/>
      <c r="G113" s="6"/>
      <c r="H113" s="6"/>
      <c r="I113" s="9"/>
    </row>
    <row r="114" spans="1:9" ht="14.25" customHeight="1">
      <c r="A114" s="4"/>
      <c r="B114" s="6"/>
      <c r="C114" s="6"/>
      <c r="D114" s="6"/>
      <c r="E114" s="6"/>
      <c r="F114" s="6"/>
      <c r="G114" s="6"/>
      <c r="H114" s="6"/>
      <c r="I114" s="9"/>
    </row>
    <row r="115" spans="1:9" ht="14.25" customHeight="1">
      <c r="A115" s="4"/>
      <c r="B115" s="6"/>
      <c r="C115" s="6"/>
      <c r="D115" s="6"/>
      <c r="E115" s="6"/>
      <c r="F115" s="6"/>
      <c r="G115" s="6"/>
      <c r="H115" s="6"/>
      <c r="I115" s="9"/>
    </row>
    <row r="116" spans="1:9" ht="14.25" customHeight="1">
      <c r="A116" s="4"/>
      <c r="B116" s="6"/>
      <c r="C116" s="6"/>
      <c r="D116" s="6"/>
      <c r="E116" s="6"/>
      <c r="F116" s="6"/>
      <c r="G116" s="6"/>
      <c r="H116" s="6"/>
      <c r="I116" s="9"/>
    </row>
    <row r="117" spans="1:9" ht="14.25" customHeight="1">
      <c r="A117" s="4"/>
      <c r="B117" s="6"/>
      <c r="C117" s="6"/>
      <c r="D117" s="6"/>
      <c r="E117" s="6"/>
      <c r="F117" s="6"/>
      <c r="G117" s="6"/>
      <c r="H117" s="6"/>
      <c r="I117" s="9"/>
    </row>
    <row r="118" spans="1:9" ht="14.25" customHeight="1">
      <c r="A118" s="4"/>
      <c r="B118" s="6"/>
      <c r="C118" s="6"/>
      <c r="D118" s="6"/>
      <c r="E118" s="6"/>
      <c r="F118" s="6"/>
      <c r="G118" s="6"/>
      <c r="H118" s="6"/>
      <c r="I118" s="9"/>
    </row>
    <row r="119" spans="1:9" ht="14.25" customHeight="1">
      <c r="A119" s="4"/>
      <c r="B119" s="6"/>
      <c r="C119" s="6"/>
      <c r="D119" s="6"/>
      <c r="E119" s="6"/>
      <c r="F119" s="6"/>
      <c r="G119" s="6"/>
      <c r="H119" s="6"/>
      <c r="I119" s="9"/>
    </row>
    <row r="120" spans="1:9" ht="14.25" customHeight="1">
      <c r="A120" s="4"/>
      <c r="B120" s="6"/>
      <c r="C120" s="6"/>
      <c r="D120" s="6"/>
      <c r="E120" s="6"/>
      <c r="F120" s="6"/>
      <c r="G120" s="6"/>
      <c r="H120" s="6"/>
      <c r="I120" s="9"/>
    </row>
    <row r="121" spans="1:9" ht="14.25" customHeight="1">
      <c r="A121" s="4"/>
      <c r="B121" s="6"/>
      <c r="C121" s="6"/>
      <c r="D121" s="6"/>
      <c r="E121" s="6"/>
      <c r="F121" s="6"/>
      <c r="G121" s="6"/>
      <c r="H121" s="6"/>
      <c r="I121" s="9"/>
    </row>
    <row r="122" spans="1:9" ht="14.25" customHeight="1">
      <c r="A122" s="4"/>
      <c r="B122" s="6"/>
      <c r="C122" s="6"/>
      <c r="D122" s="6"/>
      <c r="E122" s="6"/>
      <c r="F122" s="6"/>
      <c r="G122" s="6"/>
      <c r="H122" s="6"/>
      <c r="I122" s="9"/>
    </row>
    <row r="123" spans="1:9" ht="14.25" customHeight="1">
      <c r="A123" s="4"/>
      <c r="B123" s="6"/>
      <c r="C123" s="6"/>
      <c r="D123" s="6"/>
      <c r="E123" s="6"/>
      <c r="F123" s="6"/>
      <c r="G123" s="6"/>
      <c r="H123" s="6"/>
      <c r="I123" s="9"/>
    </row>
    <row r="124" spans="1:9" ht="14.25" customHeight="1">
      <c r="A124" s="4"/>
      <c r="B124" s="6"/>
      <c r="C124" s="6"/>
      <c r="D124" s="6"/>
      <c r="E124" s="6"/>
      <c r="F124" s="6"/>
      <c r="G124" s="6"/>
      <c r="H124" s="6"/>
      <c r="I124" s="9"/>
    </row>
    <row r="125" spans="1:9" ht="14.25" customHeight="1">
      <c r="A125" s="4"/>
      <c r="B125" s="6"/>
      <c r="C125" s="6"/>
      <c r="D125" s="6"/>
      <c r="E125" s="6"/>
      <c r="F125" s="6"/>
      <c r="G125" s="6"/>
      <c r="H125" s="6"/>
      <c r="I125" s="9"/>
    </row>
    <row r="126" spans="1:9" ht="14.25" customHeight="1">
      <c r="A126" s="4"/>
      <c r="B126" s="6"/>
      <c r="C126" s="6"/>
      <c r="D126" s="6"/>
      <c r="E126" s="6"/>
      <c r="F126" s="6"/>
      <c r="G126" s="6"/>
      <c r="H126" s="6"/>
      <c r="I126" s="9"/>
    </row>
    <row r="127" spans="1:9" ht="14.25" customHeight="1">
      <c r="A127" s="4"/>
      <c r="B127" s="6"/>
      <c r="C127" s="6"/>
      <c r="D127" s="6"/>
      <c r="E127" s="6"/>
      <c r="F127" s="6"/>
      <c r="G127" s="6"/>
      <c r="H127" s="6"/>
      <c r="I127" s="9"/>
    </row>
    <row r="128" spans="1:9" ht="14.25" customHeight="1">
      <c r="A128" s="4"/>
      <c r="B128" s="6"/>
      <c r="C128" s="6"/>
      <c r="D128" s="6"/>
      <c r="E128" s="6"/>
      <c r="F128" s="6"/>
      <c r="G128" s="6"/>
      <c r="H128" s="6"/>
      <c r="I128" s="9"/>
    </row>
    <row r="129" spans="1:9" ht="14.25" customHeight="1">
      <c r="A129" s="4"/>
      <c r="B129" s="6"/>
      <c r="C129" s="6"/>
      <c r="D129" s="6"/>
      <c r="E129" s="6"/>
      <c r="F129" s="6"/>
      <c r="G129" s="6"/>
      <c r="H129" s="6"/>
      <c r="I129" s="9"/>
    </row>
    <row r="130" spans="1:9" ht="14.25" customHeight="1">
      <c r="A130" s="4"/>
      <c r="B130" s="6"/>
      <c r="C130" s="6"/>
      <c r="D130" s="6"/>
      <c r="E130" s="6"/>
      <c r="F130" s="6"/>
      <c r="G130" s="6"/>
      <c r="H130" s="6"/>
      <c r="I130" s="9"/>
    </row>
    <row r="131" spans="1:9" ht="14.25" customHeight="1">
      <c r="A131" s="4"/>
      <c r="B131" s="6"/>
      <c r="C131" s="6"/>
      <c r="D131" s="6"/>
      <c r="E131" s="6"/>
      <c r="F131" s="6"/>
      <c r="G131" s="6"/>
      <c r="H131" s="6"/>
      <c r="I131" s="9"/>
    </row>
    <row r="132" spans="1:9" ht="14.25" customHeight="1">
      <c r="A132" s="4"/>
      <c r="B132" s="6"/>
      <c r="C132" s="6"/>
      <c r="D132" s="6"/>
      <c r="E132" s="6"/>
      <c r="F132" s="6"/>
      <c r="G132" s="6"/>
      <c r="H132" s="6"/>
      <c r="I132" s="9"/>
    </row>
    <row r="133" spans="1:9" ht="14.25" customHeight="1">
      <c r="A133" s="4"/>
      <c r="B133" s="6"/>
      <c r="C133" s="6"/>
      <c r="D133" s="6"/>
      <c r="E133" s="6"/>
      <c r="F133" s="6"/>
      <c r="G133" s="6"/>
      <c r="H133" s="6"/>
      <c r="I133" s="9"/>
    </row>
    <row r="134" spans="1:9" ht="14.25" customHeight="1">
      <c r="A134" s="4"/>
      <c r="B134" s="6"/>
      <c r="C134" s="6"/>
      <c r="D134" s="6"/>
      <c r="E134" s="6"/>
      <c r="F134" s="6"/>
      <c r="G134" s="6"/>
      <c r="H134" s="6"/>
      <c r="I134" s="9"/>
    </row>
    <row r="135" spans="1:9" ht="14.25" customHeight="1">
      <c r="A135" s="4"/>
      <c r="B135" s="6"/>
      <c r="C135" s="6"/>
      <c r="D135" s="6"/>
      <c r="E135" s="6"/>
      <c r="F135" s="6"/>
      <c r="G135" s="6"/>
      <c r="H135" s="6"/>
      <c r="I135" s="9"/>
    </row>
    <row r="136" spans="1:9" ht="14.25" customHeight="1">
      <c r="A136" s="4"/>
      <c r="B136" s="6"/>
      <c r="C136" s="6"/>
      <c r="D136" s="6"/>
      <c r="E136" s="6"/>
      <c r="F136" s="6"/>
      <c r="G136" s="6"/>
      <c r="H136" s="6"/>
      <c r="I136" s="9"/>
    </row>
    <row r="137" spans="1:9" ht="14.25" customHeight="1">
      <c r="A137" s="4"/>
      <c r="B137" s="6"/>
      <c r="C137" s="6"/>
      <c r="D137" s="6"/>
      <c r="E137" s="6"/>
      <c r="F137" s="6"/>
      <c r="G137" s="6"/>
      <c r="H137" s="6"/>
      <c r="I137" s="9"/>
    </row>
    <row r="138" spans="1:9" ht="14.25" customHeight="1">
      <c r="A138" s="4"/>
      <c r="B138" s="6"/>
      <c r="C138" s="6"/>
      <c r="D138" s="6"/>
      <c r="E138" s="6"/>
      <c r="F138" s="6"/>
      <c r="G138" s="6"/>
      <c r="H138" s="6"/>
      <c r="I138" s="9"/>
    </row>
    <row r="139" spans="1:9" ht="14.25" customHeight="1">
      <c r="A139" s="4"/>
      <c r="B139" s="6"/>
      <c r="C139" s="6"/>
      <c r="D139" s="6"/>
      <c r="E139" s="6"/>
      <c r="F139" s="6"/>
      <c r="G139" s="6"/>
      <c r="H139" s="6"/>
      <c r="I139" s="9"/>
    </row>
    <row r="140" spans="1:9" ht="14.25" customHeight="1">
      <c r="A140" s="4"/>
      <c r="B140" s="6"/>
      <c r="C140" s="6"/>
      <c r="D140" s="6"/>
      <c r="E140" s="6"/>
      <c r="F140" s="6"/>
      <c r="G140" s="6"/>
      <c r="H140" s="6"/>
      <c r="I140" s="9"/>
    </row>
    <row r="141" spans="1:9" ht="14.25" customHeight="1">
      <c r="A141" s="4"/>
      <c r="B141" s="6"/>
      <c r="C141" s="6"/>
      <c r="D141" s="6"/>
      <c r="E141" s="6"/>
      <c r="F141" s="6"/>
      <c r="G141" s="6"/>
      <c r="H141" s="6"/>
      <c r="I141" s="9"/>
    </row>
    <row r="142" spans="1:9" ht="14.25" customHeight="1">
      <c r="A142" s="4"/>
      <c r="B142" s="6"/>
      <c r="C142" s="6"/>
      <c r="D142" s="6"/>
      <c r="E142" s="6"/>
      <c r="F142" s="6"/>
      <c r="G142" s="6"/>
      <c r="H142" s="6"/>
      <c r="I142" s="9"/>
    </row>
    <row r="143" spans="1:9" ht="14.25" customHeight="1">
      <c r="A143" s="4"/>
      <c r="B143" s="6"/>
      <c r="C143" s="6"/>
      <c r="D143" s="6"/>
      <c r="E143" s="6"/>
      <c r="F143" s="6"/>
      <c r="G143" s="6"/>
      <c r="H143" s="6"/>
      <c r="I143" s="9"/>
    </row>
    <row r="144" spans="1:9" ht="14.25" customHeight="1">
      <c r="A144" s="4"/>
      <c r="B144" s="6"/>
      <c r="C144" s="6"/>
      <c r="D144" s="6"/>
      <c r="E144" s="6"/>
      <c r="F144" s="6"/>
      <c r="G144" s="6"/>
      <c r="H144" s="6"/>
      <c r="I144" s="9"/>
    </row>
    <row r="145" spans="1:9" ht="14.25" customHeight="1">
      <c r="A145" s="4"/>
      <c r="B145" s="6"/>
      <c r="C145" s="6"/>
      <c r="D145" s="6"/>
      <c r="E145" s="6"/>
      <c r="F145" s="6"/>
      <c r="G145" s="6"/>
      <c r="H145" s="6"/>
      <c r="I145" s="9"/>
    </row>
    <row r="146" spans="1:9" ht="14.25" customHeight="1">
      <c r="A146" s="4"/>
      <c r="B146" s="6"/>
      <c r="C146" s="6"/>
      <c r="D146" s="6"/>
      <c r="E146" s="6"/>
      <c r="F146" s="6"/>
      <c r="G146" s="6"/>
      <c r="H146" s="6"/>
      <c r="I146" s="9"/>
    </row>
    <row r="147" spans="1:9" ht="14.25" customHeight="1">
      <c r="A147" s="4"/>
      <c r="B147" s="6"/>
      <c r="C147" s="6"/>
      <c r="D147" s="6"/>
      <c r="E147" s="6"/>
      <c r="F147" s="6"/>
      <c r="G147" s="6"/>
      <c r="H147" s="6"/>
      <c r="I147" s="9"/>
    </row>
    <row r="148" spans="1:9" ht="14.25" customHeight="1">
      <c r="A148" s="4"/>
      <c r="B148" s="6"/>
      <c r="C148" s="6"/>
      <c r="D148" s="6"/>
      <c r="E148" s="6"/>
      <c r="F148" s="6"/>
      <c r="G148" s="6"/>
      <c r="H148" s="6"/>
      <c r="I148" s="9"/>
    </row>
    <row r="149" spans="1:9" ht="14.25" customHeight="1">
      <c r="A149" s="4"/>
      <c r="B149" s="6"/>
      <c r="C149" s="6"/>
      <c r="D149" s="6"/>
      <c r="E149" s="6"/>
      <c r="F149" s="6"/>
      <c r="G149" s="6"/>
      <c r="H149" s="6"/>
      <c r="I149" s="9"/>
    </row>
    <row r="150" spans="1:9" ht="14.25" customHeight="1">
      <c r="A150" s="4"/>
      <c r="B150" s="6"/>
      <c r="C150" s="6"/>
      <c r="D150" s="6"/>
      <c r="E150" s="6"/>
      <c r="F150" s="6"/>
      <c r="G150" s="6"/>
      <c r="H150" s="6"/>
      <c r="I150" s="9"/>
    </row>
    <row r="151" spans="1:9" ht="14.25" customHeight="1">
      <c r="A151" s="4"/>
      <c r="B151" s="6"/>
      <c r="C151" s="6"/>
      <c r="D151" s="6"/>
      <c r="E151" s="6"/>
      <c r="F151" s="6"/>
      <c r="G151" s="6"/>
      <c r="H151" s="6"/>
      <c r="I151" s="9"/>
    </row>
    <row r="152" spans="1:9" ht="14.25" customHeight="1">
      <c r="A152" s="4"/>
      <c r="B152" s="6"/>
      <c r="C152" s="6"/>
      <c r="D152" s="6"/>
      <c r="E152" s="6"/>
      <c r="F152" s="6"/>
      <c r="G152" s="6"/>
      <c r="H152" s="6"/>
      <c r="I152" s="9"/>
    </row>
    <row r="153" spans="1:9" ht="14.25" customHeight="1">
      <c r="A153" s="4"/>
      <c r="B153" s="6"/>
      <c r="C153" s="6"/>
      <c r="D153" s="6"/>
      <c r="E153" s="6"/>
      <c r="F153" s="6"/>
      <c r="G153" s="6"/>
      <c r="H153" s="6"/>
      <c r="I153" s="9"/>
    </row>
    <row r="154" spans="1:9" ht="14.25" customHeight="1">
      <c r="A154" s="4"/>
      <c r="B154" s="6"/>
      <c r="C154" s="6"/>
      <c r="D154" s="6"/>
      <c r="E154" s="6"/>
      <c r="F154" s="6"/>
      <c r="G154" s="6"/>
      <c r="H154" s="6"/>
      <c r="I154" s="9"/>
    </row>
    <row r="155" spans="1:9" ht="14.25" customHeight="1">
      <c r="A155" s="4"/>
      <c r="B155" s="6"/>
      <c r="C155" s="6"/>
      <c r="D155" s="6"/>
      <c r="E155" s="6"/>
      <c r="F155" s="6"/>
      <c r="G155" s="6"/>
      <c r="H155" s="6"/>
      <c r="I155" s="9"/>
    </row>
    <row r="156" spans="1:9" ht="14.25" customHeight="1">
      <c r="A156" s="4"/>
      <c r="B156" s="6"/>
      <c r="C156" s="6"/>
      <c r="D156" s="6"/>
      <c r="E156" s="6"/>
      <c r="F156" s="6"/>
      <c r="G156" s="6"/>
      <c r="H156" s="6"/>
      <c r="I156" s="9"/>
    </row>
    <row r="157" spans="1:9" ht="14.25" customHeight="1">
      <c r="A157" s="4"/>
      <c r="B157" s="6"/>
      <c r="C157" s="6"/>
      <c r="D157" s="6"/>
      <c r="E157" s="6"/>
      <c r="F157" s="6"/>
      <c r="G157" s="6"/>
      <c r="H157" s="6"/>
      <c r="I157" s="9"/>
    </row>
    <row r="158" spans="1:9" ht="14.25" customHeight="1">
      <c r="A158" s="4"/>
      <c r="B158" s="6"/>
      <c r="C158" s="6"/>
      <c r="D158" s="6"/>
      <c r="E158" s="6"/>
      <c r="F158" s="6"/>
      <c r="G158" s="6"/>
      <c r="H158" s="6"/>
      <c r="I158" s="9"/>
    </row>
    <row r="159" spans="1:9" ht="14.25" customHeight="1">
      <c r="A159" s="4"/>
      <c r="B159" s="6"/>
      <c r="C159" s="6"/>
      <c r="D159" s="6"/>
      <c r="E159" s="6"/>
      <c r="F159" s="6"/>
      <c r="G159" s="6"/>
      <c r="H159" s="6"/>
      <c r="I159" s="9"/>
    </row>
    <row r="160" spans="1:9" ht="14.25" customHeight="1">
      <c r="A160" s="4"/>
      <c r="B160" s="6"/>
      <c r="C160" s="6"/>
      <c r="D160" s="6"/>
      <c r="E160" s="6"/>
      <c r="F160" s="6"/>
      <c r="G160" s="6"/>
      <c r="H160" s="6"/>
      <c r="I160" s="9"/>
    </row>
    <row r="161" spans="1:9" ht="14.25" customHeight="1">
      <c r="A161" s="4"/>
      <c r="B161" s="6"/>
      <c r="C161" s="6"/>
      <c r="D161" s="6"/>
      <c r="E161" s="6"/>
      <c r="F161" s="6"/>
      <c r="G161" s="6"/>
      <c r="H161" s="6"/>
      <c r="I161" s="9"/>
    </row>
    <row r="162" spans="1:9" ht="14.25" customHeight="1">
      <c r="A162" s="4"/>
      <c r="B162" s="6"/>
      <c r="C162" s="6"/>
      <c r="D162" s="6"/>
      <c r="E162" s="6"/>
      <c r="F162" s="6"/>
      <c r="G162" s="6"/>
      <c r="H162" s="6"/>
      <c r="I162" s="9"/>
    </row>
    <row r="163" spans="1:9" ht="14.25" customHeight="1">
      <c r="A163" s="4"/>
      <c r="B163" s="6"/>
      <c r="C163" s="6"/>
      <c r="D163" s="6"/>
      <c r="E163" s="6"/>
      <c r="F163" s="6"/>
      <c r="G163" s="6"/>
      <c r="H163" s="6"/>
      <c r="I163" s="9"/>
    </row>
    <row r="164" spans="1:9" ht="14.25" customHeight="1">
      <c r="A164" s="4"/>
      <c r="B164" s="6"/>
      <c r="C164" s="6"/>
      <c r="D164" s="6"/>
      <c r="E164" s="6"/>
      <c r="F164" s="6"/>
      <c r="G164" s="6"/>
      <c r="H164" s="6"/>
      <c r="I164" s="9"/>
    </row>
    <row r="165" spans="1:9" ht="14.25" customHeight="1">
      <c r="A165" s="4"/>
      <c r="B165" s="6"/>
      <c r="C165" s="6"/>
      <c r="D165" s="6"/>
      <c r="E165" s="6"/>
      <c r="F165" s="6"/>
      <c r="G165" s="6"/>
      <c r="H165" s="6"/>
      <c r="I165" s="9"/>
    </row>
    <row r="166" spans="1:9" ht="14.25" customHeight="1">
      <c r="A166" s="4"/>
      <c r="B166" s="6"/>
      <c r="C166" s="6"/>
      <c r="D166" s="6"/>
      <c r="E166" s="6"/>
      <c r="F166" s="6"/>
      <c r="G166" s="6"/>
      <c r="H166" s="6"/>
      <c r="I166" s="9"/>
    </row>
    <row r="167" spans="1:9" ht="14.25" customHeight="1">
      <c r="A167" s="4"/>
      <c r="B167" s="6"/>
      <c r="C167" s="6"/>
      <c r="D167" s="6"/>
      <c r="E167" s="6"/>
      <c r="F167" s="6"/>
      <c r="G167" s="6"/>
      <c r="H167" s="6"/>
      <c r="I167" s="9"/>
    </row>
    <row r="168" spans="1:9" ht="14.25" customHeight="1">
      <c r="A168" s="4"/>
      <c r="B168" s="6"/>
      <c r="C168" s="6"/>
      <c r="D168" s="6"/>
      <c r="E168" s="6"/>
      <c r="F168" s="6"/>
      <c r="G168" s="6"/>
      <c r="H168" s="6"/>
      <c r="I168" s="9"/>
    </row>
    <row r="169" spans="1:9" ht="14.25" customHeight="1">
      <c r="A169" s="4"/>
      <c r="B169" s="6"/>
      <c r="C169" s="6"/>
      <c r="D169" s="6"/>
      <c r="E169" s="6"/>
      <c r="F169" s="6"/>
      <c r="G169" s="6"/>
      <c r="H169" s="6"/>
      <c r="I169" s="9"/>
    </row>
    <row r="170" spans="1:9" ht="14.25" customHeight="1">
      <c r="A170" s="4"/>
      <c r="B170" s="6"/>
      <c r="C170" s="6"/>
      <c r="D170" s="6"/>
      <c r="E170" s="6"/>
      <c r="F170" s="6"/>
      <c r="G170" s="6"/>
      <c r="H170" s="6"/>
      <c r="I170" s="9"/>
    </row>
    <row r="171" spans="1:9" ht="14.25" customHeight="1">
      <c r="A171" s="4"/>
      <c r="B171" s="6"/>
      <c r="C171" s="6"/>
      <c r="D171" s="6"/>
      <c r="E171" s="6"/>
      <c r="F171" s="6"/>
      <c r="G171" s="6"/>
      <c r="H171" s="6"/>
      <c r="I171" s="9"/>
    </row>
    <row r="172" spans="1:9" ht="14.25" customHeight="1">
      <c r="A172" s="4"/>
      <c r="B172" s="6"/>
      <c r="C172" s="6"/>
      <c r="D172" s="6"/>
      <c r="E172" s="6"/>
      <c r="F172" s="6"/>
      <c r="G172" s="6"/>
      <c r="H172" s="6"/>
      <c r="I172" s="9"/>
    </row>
    <row r="173" spans="1:9" ht="14.25" customHeight="1">
      <c r="A173" s="4"/>
      <c r="B173" s="6"/>
      <c r="C173" s="6"/>
      <c r="D173" s="6"/>
      <c r="E173" s="6"/>
      <c r="F173" s="6"/>
      <c r="G173" s="6"/>
      <c r="H173" s="6"/>
      <c r="I173" s="9"/>
    </row>
    <row r="174" spans="1:9" ht="14.25" customHeight="1">
      <c r="A174" s="4"/>
      <c r="B174" s="6"/>
      <c r="C174" s="6"/>
      <c r="D174" s="6"/>
      <c r="E174" s="6"/>
      <c r="F174" s="6"/>
      <c r="G174" s="6"/>
      <c r="H174" s="6"/>
      <c r="I174" s="9"/>
    </row>
    <row r="175" spans="1:9" ht="14.25" customHeight="1">
      <c r="A175" s="4"/>
      <c r="B175" s="6"/>
      <c r="C175" s="6"/>
      <c r="D175" s="6"/>
      <c r="E175" s="6"/>
      <c r="F175" s="6"/>
      <c r="G175" s="6"/>
      <c r="H175" s="6"/>
      <c r="I175" s="9"/>
    </row>
    <row r="176" spans="1:9" ht="14.25" customHeight="1">
      <c r="A176" s="4"/>
      <c r="B176" s="6"/>
      <c r="C176" s="6"/>
      <c r="D176" s="6"/>
      <c r="E176" s="6"/>
      <c r="F176" s="6"/>
      <c r="G176" s="6"/>
      <c r="H176" s="6"/>
      <c r="I176" s="9"/>
    </row>
    <row r="177" spans="1:9" ht="14.25" customHeight="1">
      <c r="A177" s="4"/>
      <c r="B177" s="6"/>
      <c r="C177" s="6"/>
      <c r="D177" s="6"/>
      <c r="E177" s="6"/>
      <c r="F177" s="6"/>
      <c r="G177" s="6"/>
      <c r="H177" s="6"/>
      <c r="I177" s="9"/>
    </row>
    <row r="178" spans="1:9" ht="14.25" customHeight="1">
      <c r="A178" s="4"/>
      <c r="B178" s="6"/>
      <c r="C178" s="6"/>
      <c r="D178" s="6"/>
      <c r="E178" s="6"/>
      <c r="F178" s="6"/>
      <c r="G178" s="6"/>
      <c r="H178" s="6"/>
      <c r="I178" s="9"/>
    </row>
    <row r="179" spans="1:9" ht="14.25" customHeight="1">
      <c r="A179" s="4"/>
      <c r="B179" s="6"/>
      <c r="C179" s="6"/>
      <c r="D179" s="6"/>
      <c r="E179" s="6"/>
      <c r="F179" s="6"/>
      <c r="G179" s="6"/>
      <c r="H179" s="6"/>
      <c r="I179" s="9"/>
    </row>
    <row r="180" spans="1:9" ht="14.25" customHeight="1">
      <c r="A180" s="4"/>
      <c r="B180" s="6"/>
      <c r="C180" s="6"/>
      <c r="D180" s="6"/>
      <c r="E180" s="6"/>
      <c r="F180" s="6"/>
      <c r="G180" s="6"/>
      <c r="H180" s="6"/>
      <c r="I180" s="9"/>
    </row>
    <row r="181" spans="1:9" ht="14.25" customHeight="1">
      <c r="A181" s="4"/>
      <c r="B181" s="6"/>
      <c r="C181" s="6"/>
      <c r="D181" s="6"/>
      <c r="E181" s="6"/>
      <c r="F181" s="6"/>
      <c r="G181" s="6"/>
      <c r="H181" s="6"/>
      <c r="I181" s="9"/>
    </row>
    <row r="182" spans="1:9" ht="14.25" customHeight="1">
      <c r="A182" s="4"/>
      <c r="B182" s="6"/>
      <c r="C182" s="6"/>
      <c r="D182" s="6"/>
      <c r="E182" s="6"/>
      <c r="F182" s="6"/>
      <c r="G182" s="6"/>
      <c r="H182" s="6"/>
      <c r="I182" s="9"/>
    </row>
    <row r="183" spans="1:9" ht="14.25" customHeight="1">
      <c r="A183" s="4"/>
      <c r="B183" s="6"/>
      <c r="C183" s="6"/>
      <c r="D183" s="6"/>
      <c r="E183" s="6"/>
      <c r="F183" s="6"/>
      <c r="G183" s="6"/>
      <c r="H183" s="6"/>
      <c r="I183" s="9"/>
    </row>
    <row r="184" spans="1:9" ht="14.25" customHeight="1">
      <c r="A184" s="4"/>
      <c r="B184" s="6"/>
      <c r="C184" s="6"/>
      <c r="D184" s="6"/>
      <c r="E184" s="6"/>
      <c r="F184" s="6"/>
      <c r="G184" s="6"/>
      <c r="H184" s="6"/>
      <c r="I184" s="9"/>
    </row>
    <row r="185" spans="1:9" ht="14.25" customHeight="1">
      <c r="A185" s="4"/>
      <c r="B185" s="6"/>
      <c r="C185" s="6"/>
      <c r="D185" s="6"/>
      <c r="E185" s="6"/>
      <c r="F185" s="6"/>
      <c r="G185" s="6"/>
      <c r="H185" s="6"/>
      <c r="I185" s="9"/>
    </row>
    <row r="186" spans="1:9" ht="14.25" customHeight="1">
      <c r="A186" s="4"/>
      <c r="B186" s="6"/>
      <c r="C186" s="6"/>
      <c r="D186" s="6"/>
      <c r="E186" s="6"/>
      <c r="F186" s="6"/>
      <c r="G186" s="6"/>
      <c r="H186" s="6"/>
      <c r="I186" s="9"/>
    </row>
    <row r="187" spans="1:9" ht="14.25" customHeight="1">
      <c r="A187" s="4"/>
      <c r="B187" s="6"/>
      <c r="C187" s="6"/>
      <c r="D187" s="6"/>
      <c r="E187" s="6"/>
      <c r="F187" s="6"/>
      <c r="G187" s="6"/>
      <c r="H187" s="6"/>
      <c r="I187" s="9"/>
    </row>
    <row r="188" spans="1:9" ht="14.25" customHeight="1">
      <c r="A188" s="4"/>
      <c r="B188" s="6"/>
      <c r="C188" s="6"/>
      <c r="D188" s="6"/>
      <c r="E188" s="6"/>
      <c r="F188" s="6"/>
      <c r="G188" s="6"/>
      <c r="H188" s="6"/>
      <c r="I188" s="9"/>
    </row>
    <row r="189" spans="1:9" ht="14.25" customHeight="1">
      <c r="A189" s="4"/>
      <c r="B189" s="6"/>
      <c r="C189" s="6"/>
      <c r="D189" s="6"/>
      <c r="E189" s="6"/>
      <c r="F189" s="6"/>
      <c r="G189" s="6"/>
      <c r="H189" s="6"/>
      <c r="I189" s="9"/>
    </row>
    <row r="190" spans="1:9" ht="14.25" customHeight="1">
      <c r="A190" s="4"/>
      <c r="B190" s="6"/>
      <c r="C190" s="6"/>
      <c r="D190" s="6"/>
      <c r="E190" s="6"/>
      <c r="F190" s="6"/>
      <c r="G190" s="6"/>
      <c r="H190" s="6"/>
      <c r="I190" s="9"/>
    </row>
    <row r="191" spans="1:9" ht="14.25" customHeight="1">
      <c r="A191" s="4"/>
      <c r="B191" s="6"/>
      <c r="C191" s="6"/>
      <c r="D191" s="6"/>
      <c r="E191" s="6"/>
      <c r="F191" s="6"/>
      <c r="G191" s="6"/>
      <c r="H191" s="6"/>
      <c r="I191" s="9"/>
    </row>
    <row r="192" spans="1:9" ht="14.25" customHeight="1">
      <c r="A192" s="4"/>
      <c r="B192" s="6"/>
      <c r="C192" s="6"/>
      <c r="D192" s="6"/>
      <c r="E192" s="6"/>
      <c r="F192" s="6"/>
      <c r="G192" s="6"/>
      <c r="H192" s="6"/>
      <c r="I192" s="9"/>
    </row>
    <row r="193" spans="1:9" ht="14.25" customHeight="1">
      <c r="A193" s="4"/>
      <c r="B193" s="6"/>
      <c r="C193" s="6"/>
      <c r="D193" s="6"/>
      <c r="E193" s="6"/>
      <c r="F193" s="6"/>
      <c r="G193" s="6"/>
      <c r="H193" s="6"/>
      <c r="I193" s="9"/>
    </row>
    <row r="194" spans="1:9" ht="14.25" customHeight="1">
      <c r="A194" s="4"/>
      <c r="B194" s="6"/>
      <c r="C194" s="6"/>
      <c r="D194" s="6"/>
      <c r="E194" s="6"/>
      <c r="F194" s="6"/>
      <c r="G194" s="6"/>
      <c r="H194" s="6"/>
      <c r="I194" s="9"/>
    </row>
    <row r="195" spans="1:9" ht="14.25" customHeight="1">
      <c r="A195" s="4"/>
      <c r="B195" s="6"/>
      <c r="C195" s="6"/>
      <c r="D195" s="6"/>
      <c r="E195" s="6"/>
      <c r="F195" s="6"/>
      <c r="G195" s="6"/>
      <c r="H195" s="6"/>
      <c r="I195" s="9"/>
    </row>
    <row r="196" spans="1:9" ht="14.25" customHeight="1">
      <c r="A196" s="4"/>
      <c r="B196" s="6"/>
      <c r="C196" s="6"/>
      <c r="D196" s="6"/>
      <c r="E196" s="6"/>
      <c r="F196" s="6"/>
      <c r="G196" s="6"/>
      <c r="H196" s="6"/>
      <c r="I196" s="9"/>
    </row>
    <row r="197" spans="1:9" ht="14.25" customHeight="1">
      <c r="A197" s="4"/>
      <c r="B197" s="6"/>
      <c r="C197" s="6"/>
      <c r="D197" s="6"/>
      <c r="E197" s="6"/>
      <c r="F197" s="6"/>
      <c r="G197" s="6"/>
      <c r="H197" s="6"/>
      <c r="I197" s="9"/>
    </row>
    <row r="198" spans="1:9" ht="14.25" customHeight="1">
      <c r="A198" s="4"/>
      <c r="B198" s="6"/>
      <c r="C198" s="6"/>
      <c r="D198" s="6"/>
      <c r="E198" s="6"/>
      <c r="F198" s="6"/>
      <c r="G198" s="6"/>
      <c r="H198" s="6"/>
      <c r="I198" s="9"/>
    </row>
    <row r="199" spans="1:9" ht="14.25" customHeight="1">
      <c r="A199" s="4"/>
      <c r="B199" s="6"/>
      <c r="C199" s="6"/>
      <c r="D199" s="6"/>
      <c r="E199" s="6"/>
      <c r="F199" s="6"/>
      <c r="G199" s="6"/>
      <c r="H199" s="6"/>
      <c r="I199" s="9"/>
    </row>
    <row r="200" spans="1:9" ht="14.25" customHeight="1">
      <c r="A200" s="4"/>
      <c r="B200" s="6"/>
      <c r="C200" s="6"/>
      <c r="D200" s="6"/>
      <c r="E200" s="6"/>
      <c r="F200" s="6"/>
      <c r="G200" s="6"/>
      <c r="H200" s="6"/>
      <c r="I200" s="9"/>
    </row>
    <row r="201" spans="1:9" ht="14.25" customHeight="1">
      <c r="A201" s="4"/>
      <c r="B201" s="6"/>
      <c r="C201" s="6"/>
      <c r="D201" s="6"/>
      <c r="E201" s="6"/>
      <c r="F201" s="6"/>
      <c r="G201" s="6"/>
      <c r="H201" s="6"/>
      <c r="I201" s="9"/>
    </row>
    <row r="202" spans="1:9" ht="14.25" customHeight="1">
      <c r="A202" s="4"/>
      <c r="B202" s="6"/>
      <c r="C202" s="6"/>
      <c r="D202" s="6"/>
      <c r="E202" s="6"/>
      <c r="F202" s="6"/>
      <c r="G202" s="6"/>
      <c r="H202" s="6"/>
      <c r="I202" s="9"/>
    </row>
    <row r="203" spans="1:9" ht="14.25" customHeight="1">
      <c r="A203" s="4"/>
      <c r="B203" s="6"/>
      <c r="C203" s="6"/>
      <c r="D203" s="6"/>
      <c r="E203" s="6"/>
      <c r="F203" s="6"/>
      <c r="G203" s="6"/>
      <c r="H203" s="6"/>
      <c r="I203" s="9"/>
    </row>
    <row r="204" spans="1:9" ht="14.25" customHeight="1">
      <c r="A204" s="4"/>
      <c r="B204" s="6"/>
      <c r="C204" s="6"/>
      <c r="D204" s="6"/>
      <c r="E204" s="6"/>
      <c r="F204" s="6"/>
      <c r="G204" s="6"/>
      <c r="H204" s="6"/>
      <c r="I204" s="9"/>
    </row>
    <row r="205" spans="1:9" ht="14.25" customHeight="1">
      <c r="A205" s="4"/>
      <c r="B205" s="6"/>
      <c r="C205" s="6"/>
      <c r="D205" s="6"/>
      <c r="E205" s="6"/>
      <c r="F205" s="6"/>
      <c r="G205" s="6"/>
      <c r="H205" s="6"/>
      <c r="I205" s="9"/>
    </row>
    <row r="206" spans="1:9" ht="14.25" customHeight="1">
      <c r="A206" s="4"/>
      <c r="B206" s="6"/>
      <c r="C206" s="6"/>
      <c r="D206" s="6"/>
      <c r="E206" s="6"/>
      <c r="F206" s="6"/>
      <c r="G206" s="6"/>
      <c r="H206" s="6"/>
      <c r="I206" s="9"/>
    </row>
    <row r="207" spans="1:9" ht="14.25" customHeight="1">
      <c r="A207" s="4"/>
      <c r="B207" s="6"/>
      <c r="C207" s="6"/>
      <c r="D207" s="6"/>
      <c r="E207" s="6"/>
      <c r="F207" s="6"/>
      <c r="G207" s="6"/>
      <c r="H207" s="6"/>
      <c r="I207" s="9"/>
    </row>
    <row r="208" spans="1:9" ht="14.25" customHeight="1">
      <c r="A208" s="4"/>
      <c r="B208" s="6"/>
      <c r="C208" s="6"/>
      <c r="D208" s="6"/>
      <c r="E208" s="6"/>
      <c r="F208" s="6"/>
      <c r="G208" s="6"/>
      <c r="H208" s="6"/>
      <c r="I208" s="9"/>
    </row>
    <row r="209" spans="1:9" ht="14.25" customHeight="1">
      <c r="A209" s="4"/>
      <c r="B209" s="6"/>
      <c r="C209" s="6"/>
      <c r="D209" s="6"/>
      <c r="E209" s="6"/>
      <c r="F209" s="6"/>
      <c r="G209" s="6"/>
      <c r="H209" s="6"/>
      <c r="I209" s="9"/>
    </row>
    <row r="210" spans="1:9" ht="14.25" customHeight="1">
      <c r="A210" s="4"/>
      <c r="B210" s="6"/>
      <c r="C210" s="6"/>
      <c r="D210" s="6"/>
      <c r="E210" s="6"/>
      <c r="F210" s="6"/>
      <c r="G210" s="6"/>
      <c r="H210" s="6"/>
      <c r="I210" s="9"/>
    </row>
    <row r="211" spans="1:9" ht="14.25" customHeight="1">
      <c r="A211" s="4"/>
      <c r="B211" s="6"/>
      <c r="C211" s="6"/>
      <c r="D211" s="6"/>
      <c r="E211" s="6"/>
      <c r="F211" s="6"/>
      <c r="G211" s="6"/>
      <c r="H211" s="6"/>
      <c r="I211" s="9"/>
    </row>
    <row r="212" spans="1:9" ht="14.25" customHeight="1">
      <c r="A212" s="4"/>
      <c r="B212" s="6"/>
      <c r="C212" s="6"/>
      <c r="D212" s="6"/>
      <c r="E212" s="6"/>
      <c r="F212" s="6"/>
      <c r="G212" s="6"/>
      <c r="H212" s="6"/>
      <c r="I212" s="9"/>
    </row>
    <row r="213" spans="1:9" ht="14.25" customHeight="1">
      <c r="A213" s="4"/>
      <c r="B213" s="6"/>
      <c r="C213" s="6"/>
      <c r="D213" s="6"/>
      <c r="E213" s="6"/>
      <c r="F213" s="6"/>
      <c r="G213" s="6"/>
      <c r="H213" s="6"/>
      <c r="I213" s="9"/>
    </row>
    <row r="214" spans="1:9" ht="14.25" customHeight="1">
      <c r="A214" s="4"/>
      <c r="B214" s="6"/>
      <c r="C214" s="6"/>
      <c r="D214" s="6"/>
      <c r="E214" s="6"/>
      <c r="F214" s="6"/>
      <c r="G214" s="6"/>
      <c r="H214" s="6"/>
      <c r="I214" s="9"/>
    </row>
    <row r="215" spans="1:9" ht="14.25" customHeight="1">
      <c r="A215" s="4"/>
      <c r="B215" s="6"/>
      <c r="C215" s="6"/>
      <c r="D215" s="6"/>
      <c r="E215" s="6"/>
      <c r="F215" s="6"/>
      <c r="G215" s="6"/>
      <c r="H215" s="6"/>
      <c r="I215" s="9"/>
    </row>
    <row r="216" spans="1:9" ht="14.25" customHeight="1">
      <c r="A216" s="4"/>
      <c r="B216" s="6"/>
      <c r="C216" s="6"/>
      <c r="D216" s="6"/>
      <c r="E216" s="6"/>
      <c r="F216" s="6"/>
      <c r="G216" s="6"/>
      <c r="H216" s="6"/>
      <c r="I216" s="9"/>
    </row>
    <row r="217" spans="1:9" ht="14.25" customHeight="1">
      <c r="A217" s="4"/>
      <c r="B217" s="6"/>
      <c r="C217" s="6"/>
      <c r="D217" s="6"/>
      <c r="E217" s="6"/>
      <c r="F217" s="6"/>
      <c r="G217" s="6"/>
      <c r="H217" s="6"/>
      <c r="I217" s="9"/>
    </row>
    <row r="218" spans="1:9" ht="14.25" customHeight="1">
      <c r="A218" s="4"/>
      <c r="B218" s="6"/>
      <c r="C218" s="6"/>
      <c r="D218" s="6"/>
      <c r="E218" s="6"/>
      <c r="F218" s="6"/>
      <c r="G218" s="6"/>
      <c r="H218" s="6"/>
      <c r="I218" s="9"/>
    </row>
    <row r="219" spans="1:9" ht="14.25" customHeight="1">
      <c r="A219" s="4"/>
      <c r="B219" s="6"/>
      <c r="C219" s="6"/>
      <c r="D219" s="6"/>
      <c r="E219" s="6"/>
      <c r="F219" s="6"/>
      <c r="G219" s="6"/>
      <c r="H219" s="6"/>
      <c r="I219" s="9"/>
    </row>
    <row r="220" spans="1:9" ht="14.25" customHeight="1">
      <c r="A220" s="4"/>
      <c r="B220" s="6"/>
      <c r="C220" s="6"/>
      <c r="D220" s="6"/>
      <c r="E220" s="6"/>
      <c r="F220" s="6"/>
      <c r="G220" s="6"/>
      <c r="H220" s="6"/>
      <c r="I220" s="9"/>
    </row>
    <row r="221" spans="1:9" ht="14.25" customHeight="1">
      <c r="A221" s="4"/>
      <c r="B221" s="6"/>
      <c r="C221" s="6"/>
      <c r="D221" s="6"/>
      <c r="E221" s="6"/>
      <c r="F221" s="6"/>
      <c r="G221" s="6"/>
      <c r="H221" s="6"/>
      <c r="I221" s="9"/>
    </row>
    <row r="222" spans="1:9" ht="14.25" customHeight="1">
      <c r="A222" s="4"/>
      <c r="B222" s="6"/>
      <c r="C222" s="6"/>
      <c r="D222" s="6"/>
      <c r="E222" s="6"/>
      <c r="F222" s="6"/>
      <c r="G222" s="6"/>
      <c r="H222" s="6"/>
      <c r="I222" s="9"/>
    </row>
    <row r="223" spans="1:9" ht="14.25" customHeight="1">
      <c r="A223" s="4"/>
      <c r="B223" s="6"/>
      <c r="C223" s="6"/>
      <c r="D223" s="6"/>
      <c r="E223" s="6"/>
      <c r="F223" s="6"/>
      <c r="G223" s="6"/>
      <c r="H223" s="6"/>
      <c r="I223" s="9"/>
    </row>
    <row r="224" spans="1:9" ht="14.25" customHeight="1">
      <c r="A224" s="4"/>
      <c r="B224" s="6"/>
      <c r="C224" s="6"/>
      <c r="D224" s="6"/>
      <c r="E224" s="6"/>
      <c r="F224" s="6"/>
      <c r="G224" s="6"/>
      <c r="H224" s="6"/>
      <c r="I224" s="9"/>
    </row>
    <row r="225" spans="1:9" ht="14.25" customHeight="1">
      <c r="A225" s="4"/>
      <c r="B225" s="6"/>
      <c r="C225" s="6"/>
      <c r="D225" s="6"/>
      <c r="E225" s="6"/>
      <c r="F225" s="6"/>
      <c r="G225" s="6"/>
      <c r="H225" s="6"/>
      <c r="I225" s="9"/>
    </row>
    <row r="226" spans="1:9" ht="14.25" customHeight="1">
      <c r="A226" s="4"/>
      <c r="B226" s="6"/>
      <c r="C226" s="6"/>
      <c r="D226" s="6"/>
      <c r="E226" s="6"/>
      <c r="F226" s="6"/>
      <c r="G226" s="6"/>
      <c r="H226" s="6"/>
      <c r="I226" s="9"/>
    </row>
    <row r="227" spans="1:9" ht="14.25" customHeight="1">
      <c r="A227" s="4"/>
      <c r="B227" s="6"/>
      <c r="C227" s="6"/>
      <c r="D227" s="6"/>
      <c r="E227" s="6"/>
      <c r="F227" s="6"/>
      <c r="G227" s="6"/>
      <c r="H227" s="6"/>
      <c r="I227" s="9"/>
    </row>
    <row r="228" spans="1:9" ht="14.25" customHeight="1">
      <c r="A228" s="4"/>
      <c r="B228" s="6"/>
      <c r="C228" s="6"/>
      <c r="D228" s="6"/>
      <c r="E228" s="6"/>
      <c r="F228" s="6"/>
      <c r="G228" s="6"/>
      <c r="H228" s="6"/>
      <c r="I228" s="9"/>
    </row>
    <row r="229" spans="1:9" ht="14.25" customHeight="1">
      <c r="A229" s="4"/>
      <c r="B229" s="6"/>
      <c r="C229" s="6"/>
      <c r="D229" s="6"/>
      <c r="E229" s="6"/>
      <c r="F229" s="6"/>
      <c r="G229" s="6"/>
      <c r="H229" s="6"/>
      <c r="I229" s="9"/>
    </row>
    <row r="230" spans="1:9" ht="14.25" customHeight="1">
      <c r="A230" s="4"/>
      <c r="B230" s="6"/>
      <c r="C230" s="6"/>
      <c r="D230" s="6"/>
      <c r="E230" s="6"/>
      <c r="F230" s="6"/>
      <c r="G230" s="6"/>
      <c r="H230" s="6"/>
      <c r="I230" s="9"/>
    </row>
    <row r="231" spans="1:9" ht="14.25" customHeight="1">
      <c r="A231" s="4"/>
      <c r="B231" s="6"/>
      <c r="C231" s="6"/>
      <c r="D231" s="6"/>
      <c r="E231" s="6"/>
      <c r="F231" s="6"/>
      <c r="G231" s="6"/>
      <c r="H231" s="6"/>
      <c r="I231" s="9"/>
    </row>
    <row r="232" spans="1:9" ht="14.25" customHeight="1">
      <c r="A232" s="4"/>
      <c r="B232" s="6"/>
      <c r="C232" s="6"/>
      <c r="D232" s="6"/>
      <c r="E232" s="6"/>
      <c r="F232" s="6"/>
      <c r="G232" s="6"/>
      <c r="H232" s="6"/>
      <c r="I232" s="9"/>
    </row>
    <row r="233" spans="1:9" ht="14.25" customHeight="1">
      <c r="A233" s="4"/>
      <c r="B233" s="6"/>
      <c r="C233" s="6"/>
      <c r="D233" s="6"/>
      <c r="E233" s="6"/>
      <c r="F233" s="6"/>
      <c r="G233" s="6"/>
      <c r="H233" s="6"/>
      <c r="I233" s="9"/>
    </row>
    <row r="234" spans="1:9" ht="14.25" customHeight="1">
      <c r="A234" s="4"/>
      <c r="B234" s="6"/>
      <c r="C234" s="6"/>
      <c r="D234" s="6"/>
      <c r="E234" s="6"/>
      <c r="F234" s="6"/>
      <c r="G234" s="6"/>
      <c r="H234" s="6"/>
      <c r="I234" s="9"/>
    </row>
    <row r="235" spans="1:9" ht="14.25" customHeight="1">
      <c r="A235" s="4"/>
      <c r="B235" s="6"/>
      <c r="C235" s="6"/>
      <c r="D235" s="6"/>
      <c r="E235" s="6"/>
      <c r="F235" s="6"/>
      <c r="G235" s="6"/>
      <c r="H235" s="6"/>
      <c r="I235" s="9"/>
    </row>
    <row r="236" spans="1:9" ht="14.25" customHeight="1">
      <c r="A236" s="4"/>
      <c r="B236" s="6"/>
      <c r="C236" s="6"/>
      <c r="D236" s="6"/>
      <c r="E236" s="6"/>
      <c r="F236" s="6"/>
      <c r="G236" s="6"/>
      <c r="H236" s="6"/>
      <c r="I236" s="9"/>
    </row>
    <row r="237" spans="1:9" ht="14.25" customHeight="1">
      <c r="A237" s="4"/>
      <c r="B237" s="6"/>
      <c r="C237" s="6"/>
      <c r="D237" s="6"/>
      <c r="E237" s="6"/>
      <c r="F237" s="6"/>
      <c r="G237" s="6"/>
      <c r="H237" s="6"/>
      <c r="I237" s="9"/>
    </row>
    <row r="238" spans="1:9" ht="14.25" customHeight="1">
      <c r="A238" s="4"/>
      <c r="B238" s="6"/>
      <c r="C238" s="6"/>
      <c r="D238" s="6"/>
      <c r="E238" s="6"/>
      <c r="F238" s="6"/>
      <c r="G238" s="6"/>
      <c r="H238" s="6"/>
      <c r="I238" s="9"/>
    </row>
    <row r="239" spans="1:9" ht="14.25" customHeight="1">
      <c r="A239" s="4"/>
      <c r="B239" s="6"/>
      <c r="C239" s="6"/>
      <c r="D239" s="6"/>
      <c r="E239" s="6"/>
      <c r="F239" s="6"/>
      <c r="G239" s="6"/>
      <c r="H239" s="6"/>
      <c r="I239" s="9"/>
    </row>
    <row r="240" spans="1:9" ht="14.25" customHeight="1">
      <c r="A240" s="4"/>
      <c r="B240" s="6"/>
      <c r="C240" s="6"/>
      <c r="D240" s="6"/>
      <c r="E240" s="6"/>
      <c r="F240" s="6"/>
      <c r="G240" s="6"/>
      <c r="H240" s="6"/>
      <c r="I240" s="9"/>
    </row>
    <row r="241" spans="1:9" ht="14.25" customHeight="1">
      <c r="A241" s="4"/>
      <c r="B241" s="6"/>
      <c r="C241" s="6"/>
      <c r="D241" s="6"/>
      <c r="E241" s="6"/>
      <c r="F241" s="6"/>
      <c r="G241" s="6"/>
      <c r="H241" s="6"/>
      <c r="I241" s="9"/>
    </row>
    <row r="242" spans="1:9" ht="14.25" customHeight="1">
      <c r="A242" s="4"/>
      <c r="B242" s="6"/>
      <c r="C242" s="6"/>
      <c r="D242" s="6"/>
      <c r="E242" s="6"/>
      <c r="F242" s="6"/>
      <c r="G242" s="6"/>
      <c r="H242" s="6"/>
      <c r="I242" s="9"/>
    </row>
    <row r="243" spans="1:9" ht="14.25" customHeight="1">
      <c r="A243" s="4"/>
      <c r="B243" s="6"/>
      <c r="C243" s="6"/>
      <c r="D243" s="6"/>
      <c r="E243" s="6"/>
      <c r="F243" s="6"/>
      <c r="G243" s="6"/>
      <c r="H243" s="6"/>
      <c r="I243" s="9"/>
    </row>
    <row r="244" spans="1:9" ht="14.25" customHeight="1">
      <c r="A244" s="4"/>
      <c r="B244" s="6"/>
      <c r="C244" s="6"/>
      <c r="D244" s="6"/>
      <c r="E244" s="6"/>
      <c r="F244" s="6"/>
      <c r="G244" s="6"/>
      <c r="H244" s="6"/>
      <c r="I244" s="9"/>
    </row>
    <row r="245" spans="1:9" ht="14.25" customHeight="1">
      <c r="A245" s="4"/>
      <c r="B245" s="6"/>
      <c r="C245" s="6"/>
      <c r="D245" s="6"/>
      <c r="E245" s="6"/>
      <c r="F245" s="6"/>
      <c r="G245" s="6"/>
      <c r="H245" s="6"/>
      <c r="I245" s="9"/>
    </row>
    <row r="246" spans="1:9" ht="14.25" customHeight="1">
      <c r="A246" s="4"/>
      <c r="B246" s="6"/>
      <c r="C246" s="6"/>
      <c r="D246" s="6"/>
      <c r="E246" s="6"/>
      <c r="F246" s="6"/>
      <c r="G246" s="6"/>
      <c r="H246" s="6"/>
      <c r="I246" s="9"/>
    </row>
    <row r="247" spans="1:9" ht="14.25" customHeight="1">
      <c r="A247" s="4"/>
      <c r="B247" s="6"/>
      <c r="C247" s="6"/>
      <c r="D247" s="6"/>
      <c r="E247" s="6"/>
      <c r="F247" s="6"/>
      <c r="G247" s="6"/>
      <c r="H247" s="6"/>
      <c r="I247" s="9"/>
    </row>
    <row r="248" spans="1:9" ht="14.25" customHeight="1">
      <c r="A248" s="4"/>
      <c r="B248" s="6"/>
      <c r="C248" s="6"/>
      <c r="D248" s="6"/>
      <c r="E248" s="6"/>
      <c r="F248" s="6"/>
      <c r="G248" s="6"/>
      <c r="H248" s="6"/>
      <c r="I248" s="9"/>
    </row>
    <row r="249" spans="1:9" ht="14.25" customHeight="1">
      <c r="A249" s="4"/>
      <c r="B249" s="6"/>
      <c r="C249" s="6"/>
      <c r="D249" s="6"/>
      <c r="E249" s="6"/>
      <c r="F249" s="6"/>
      <c r="G249" s="6"/>
      <c r="H249" s="6"/>
      <c r="I249" s="9"/>
    </row>
    <row r="250" spans="1:9" ht="14.25" customHeight="1">
      <c r="A250" s="4"/>
      <c r="B250" s="6"/>
      <c r="C250" s="6"/>
      <c r="D250" s="6"/>
      <c r="E250" s="6"/>
      <c r="F250" s="6"/>
      <c r="G250" s="6"/>
      <c r="H250" s="6"/>
      <c r="I250" s="9"/>
    </row>
    <row r="251" spans="1:9" ht="14.25" customHeight="1">
      <c r="A251" s="4"/>
      <c r="B251" s="6"/>
      <c r="C251" s="6"/>
      <c r="D251" s="6"/>
      <c r="E251" s="6"/>
      <c r="F251" s="6"/>
      <c r="G251" s="6"/>
      <c r="H251" s="6"/>
      <c r="I251" s="9"/>
    </row>
    <row r="252" spans="1:9" ht="14.25" customHeight="1">
      <c r="A252" s="4"/>
      <c r="B252" s="6"/>
      <c r="C252" s="6"/>
      <c r="D252" s="6"/>
      <c r="E252" s="6"/>
      <c r="F252" s="6"/>
      <c r="G252" s="6"/>
      <c r="H252" s="6"/>
      <c r="I252" s="9"/>
    </row>
    <row r="253" spans="1:9" ht="14.25" customHeight="1">
      <c r="A253" s="4"/>
      <c r="B253" s="6"/>
      <c r="C253" s="6"/>
      <c r="D253" s="6"/>
      <c r="E253" s="6"/>
      <c r="F253" s="6"/>
      <c r="G253" s="6"/>
      <c r="H253" s="6"/>
      <c r="I253" s="9"/>
    </row>
    <row r="254" spans="1:9" ht="14.25" customHeight="1">
      <c r="A254" s="4"/>
      <c r="B254" s="6"/>
      <c r="C254" s="6"/>
      <c r="D254" s="6"/>
      <c r="E254" s="6"/>
      <c r="F254" s="6"/>
      <c r="G254" s="6"/>
      <c r="H254" s="6"/>
      <c r="I254" s="9"/>
    </row>
    <row r="255" spans="1:9" ht="14.25" customHeight="1">
      <c r="A255" s="4"/>
      <c r="B255" s="6"/>
      <c r="C255" s="6"/>
      <c r="D255" s="6"/>
      <c r="E255" s="6"/>
      <c r="F255" s="6"/>
      <c r="G255" s="6"/>
      <c r="H255" s="6"/>
      <c r="I255" s="9"/>
    </row>
    <row r="256" spans="1:9" ht="14.25" customHeight="1">
      <c r="A256" s="4"/>
      <c r="B256" s="6"/>
      <c r="C256" s="6"/>
      <c r="D256" s="6"/>
      <c r="E256" s="6"/>
      <c r="F256" s="6"/>
      <c r="G256" s="6"/>
      <c r="H256" s="6"/>
      <c r="I256" s="9"/>
    </row>
    <row r="257" spans="1:9" ht="14.25" customHeight="1">
      <c r="A257" s="4"/>
      <c r="B257" s="6"/>
      <c r="C257" s="6"/>
      <c r="D257" s="6"/>
      <c r="E257" s="6"/>
      <c r="F257" s="6"/>
      <c r="G257" s="6"/>
      <c r="H257" s="6"/>
      <c r="I257" s="9"/>
    </row>
    <row r="258" spans="1:9" ht="14.25" customHeight="1">
      <c r="A258" s="4"/>
      <c r="B258" s="6"/>
      <c r="C258" s="6"/>
      <c r="D258" s="6"/>
      <c r="E258" s="6"/>
      <c r="F258" s="6"/>
      <c r="G258" s="6"/>
      <c r="H258" s="6"/>
      <c r="I258" s="9"/>
    </row>
    <row r="259" spans="1:9" ht="14.25" customHeight="1">
      <c r="A259" s="4"/>
      <c r="B259" s="6"/>
      <c r="C259" s="6"/>
      <c r="D259" s="6"/>
      <c r="E259" s="6"/>
      <c r="F259" s="6"/>
      <c r="G259" s="6"/>
      <c r="H259" s="6"/>
      <c r="I259" s="9"/>
    </row>
    <row r="260" spans="1:9" ht="14.25" customHeight="1">
      <c r="A260" s="4"/>
      <c r="B260" s="6"/>
      <c r="C260" s="6"/>
      <c r="D260" s="6"/>
      <c r="E260" s="6"/>
      <c r="F260" s="6"/>
      <c r="G260" s="6"/>
      <c r="H260" s="6"/>
      <c r="I260" s="9"/>
    </row>
    <row r="261" spans="1:9" ht="14.25" customHeight="1">
      <c r="A261" s="4"/>
      <c r="B261" s="6"/>
      <c r="C261" s="6"/>
      <c r="D261" s="6"/>
      <c r="E261" s="6"/>
      <c r="F261" s="6"/>
      <c r="G261" s="6"/>
      <c r="H261" s="6"/>
      <c r="I261" s="9"/>
    </row>
    <row r="262" spans="1:9" ht="14.25" customHeight="1">
      <c r="A262" s="4"/>
      <c r="B262" s="6"/>
      <c r="C262" s="6"/>
      <c r="D262" s="6"/>
      <c r="E262" s="6"/>
      <c r="F262" s="6"/>
      <c r="G262" s="6"/>
      <c r="H262" s="6"/>
      <c r="I262" s="9"/>
    </row>
    <row r="263" spans="1:9" ht="14.25" customHeight="1">
      <c r="A263" s="4"/>
      <c r="B263" s="6"/>
      <c r="C263" s="6"/>
      <c r="D263" s="6"/>
      <c r="E263" s="6"/>
      <c r="F263" s="6"/>
      <c r="G263" s="6"/>
      <c r="H263" s="6"/>
      <c r="I263" s="9"/>
    </row>
    <row r="264" spans="1:9" ht="14.25" customHeight="1">
      <c r="A264" s="4"/>
      <c r="B264" s="6"/>
      <c r="C264" s="6"/>
      <c r="D264" s="6"/>
      <c r="E264" s="6"/>
      <c r="F264" s="6"/>
      <c r="G264" s="6"/>
      <c r="H264" s="6"/>
      <c r="I264" s="9"/>
    </row>
    <row r="265" spans="1:9" ht="14.25" customHeight="1">
      <c r="A265" s="4"/>
      <c r="B265" s="6"/>
      <c r="C265" s="6"/>
      <c r="D265" s="6"/>
      <c r="E265" s="6"/>
      <c r="F265" s="6"/>
      <c r="G265" s="6"/>
      <c r="H265" s="6"/>
      <c r="I265" s="9"/>
    </row>
    <row r="266" spans="1:9" ht="14.25" customHeight="1">
      <c r="A266" s="4"/>
      <c r="B266" s="6"/>
      <c r="C266" s="6"/>
      <c r="D266" s="6"/>
      <c r="E266" s="6"/>
      <c r="F266" s="6"/>
      <c r="G266" s="6"/>
      <c r="H266" s="6"/>
      <c r="I266" s="9"/>
    </row>
    <row r="267" spans="1:9" ht="14.25" customHeight="1">
      <c r="A267" s="4"/>
      <c r="B267" s="6"/>
      <c r="C267" s="6"/>
      <c r="D267" s="6"/>
      <c r="E267" s="6"/>
      <c r="F267" s="6"/>
      <c r="G267" s="6"/>
      <c r="H267" s="6"/>
      <c r="I267" s="9"/>
    </row>
    <row r="268" spans="1:9" ht="14.25" customHeight="1">
      <c r="A268" s="4"/>
      <c r="B268" s="6"/>
      <c r="C268" s="6"/>
      <c r="D268" s="6"/>
      <c r="E268" s="6"/>
      <c r="F268" s="6"/>
      <c r="G268" s="6"/>
      <c r="H268" s="6"/>
      <c r="I268" s="9"/>
    </row>
    <row r="269" spans="1:9" ht="14.25" customHeight="1">
      <c r="A269" s="4"/>
      <c r="B269" s="6"/>
      <c r="C269" s="6"/>
      <c r="D269" s="6"/>
      <c r="E269" s="6"/>
      <c r="F269" s="6"/>
      <c r="G269" s="6"/>
      <c r="H269" s="6"/>
      <c r="I269" s="9"/>
    </row>
    <row r="270" spans="1:9" ht="14.25" customHeight="1">
      <c r="A270" s="4"/>
      <c r="B270" s="6"/>
      <c r="C270" s="6"/>
      <c r="D270" s="6"/>
      <c r="E270" s="6"/>
      <c r="F270" s="6"/>
      <c r="G270" s="6"/>
      <c r="H270" s="6"/>
      <c r="I270" s="9"/>
    </row>
    <row r="271" spans="1:9" ht="14.25" customHeight="1">
      <c r="A271" s="4"/>
      <c r="B271" s="6"/>
      <c r="C271" s="6"/>
      <c r="D271" s="6"/>
      <c r="E271" s="6"/>
      <c r="F271" s="6"/>
      <c r="G271" s="6"/>
      <c r="H271" s="6"/>
      <c r="I271" s="9"/>
    </row>
    <row r="272" spans="1:9" ht="14.25" customHeight="1">
      <c r="A272" s="4"/>
      <c r="B272" s="6"/>
      <c r="C272" s="6"/>
      <c r="D272" s="6"/>
      <c r="E272" s="6"/>
      <c r="F272" s="6"/>
      <c r="G272" s="6"/>
      <c r="H272" s="6"/>
      <c r="I272" s="9"/>
    </row>
    <row r="273" spans="1:9" ht="14.25" customHeight="1">
      <c r="A273" s="4"/>
      <c r="B273" s="6"/>
      <c r="C273" s="6"/>
      <c r="D273" s="6"/>
      <c r="E273" s="6"/>
      <c r="F273" s="6"/>
      <c r="G273" s="6"/>
      <c r="H273" s="6"/>
      <c r="I273" s="9"/>
    </row>
    <row r="274" spans="1:9" ht="14.25" customHeight="1">
      <c r="A274" s="4"/>
      <c r="B274" s="6"/>
      <c r="C274" s="6"/>
      <c r="D274" s="6"/>
      <c r="E274" s="6"/>
      <c r="F274" s="6"/>
      <c r="G274" s="6"/>
      <c r="H274" s="6"/>
      <c r="I274" s="9"/>
    </row>
    <row r="275" spans="1:9" ht="14.25" customHeight="1">
      <c r="A275" s="4"/>
      <c r="B275" s="6"/>
      <c r="C275" s="6"/>
      <c r="D275" s="6"/>
      <c r="E275" s="6"/>
      <c r="F275" s="6"/>
      <c r="G275" s="6"/>
      <c r="H275" s="6"/>
      <c r="I275" s="9"/>
    </row>
    <row r="276" spans="1:9" ht="14.25" customHeight="1">
      <c r="A276" s="4"/>
      <c r="B276" s="6"/>
      <c r="C276" s="6"/>
      <c r="D276" s="6"/>
      <c r="E276" s="6"/>
      <c r="F276" s="6"/>
      <c r="G276" s="6"/>
      <c r="H276" s="6"/>
      <c r="I276" s="9"/>
    </row>
    <row r="277" spans="1:9" ht="14.25" customHeight="1">
      <c r="A277" s="4"/>
      <c r="B277" s="6"/>
      <c r="C277" s="6"/>
      <c r="D277" s="6"/>
      <c r="E277" s="6"/>
      <c r="F277" s="6"/>
      <c r="G277" s="6"/>
      <c r="H277" s="6"/>
      <c r="I277" s="9"/>
    </row>
    <row r="278" spans="1:9" ht="14.25" customHeight="1">
      <c r="A278" s="4"/>
      <c r="B278" s="6"/>
      <c r="C278" s="6"/>
      <c r="D278" s="6"/>
      <c r="E278" s="6"/>
      <c r="F278" s="6"/>
      <c r="G278" s="6"/>
      <c r="H278" s="6"/>
      <c r="I278" s="9"/>
    </row>
    <row r="279" spans="1:9" ht="14.25" customHeight="1">
      <c r="A279" s="4"/>
      <c r="B279" s="6"/>
      <c r="C279" s="6"/>
      <c r="D279" s="6"/>
      <c r="E279" s="6"/>
      <c r="F279" s="6"/>
      <c r="G279" s="6"/>
      <c r="H279" s="6"/>
      <c r="I279" s="9"/>
    </row>
    <row r="280" spans="1:9" ht="14.25" customHeight="1">
      <c r="A280" s="4"/>
      <c r="B280" s="6"/>
      <c r="C280" s="6"/>
      <c r="D280" s="6"/>
      <c r="E280" s="6"/>
      <c r="F280" s="6"/>
      <c r="G280" s="6"/>
      <c r="H280" s="6"/>
      <c r="I280" s="9"/>
    </row>
    <row r="281" spans="1:9" ht="14.25" customHeight="1">
      <c r="A281" s="4"/>
      <c r="B281" s="6"/>
      <c r="C281" s="6"/>
      <c r="D281" s="6"/>
      <c r="E281" s="6"/>
      <c r="F281" s="6"/>
      <c r="G281" s="6"/>
      <c r="H281" s="6"/>
      <c r="I281" s="9"/>
    </row>
    <row r="282" spans="1:9" ht="14.25" customHeight="1">
      <c r="A282" s="4"/>
      <c r="B282" s="6"/>
      <c r="C282" s="6"/>
      <c r="D282" s="6"/>
      <c r="E282" s="6"/>
      <c r="F282" s="6"/>
      <c r="G282" s="6"/>
      <c r="H282" s="6"/>
      <c r="I282" s="9"/>
    </row>
    <row r="283" spans="1:9" ht="14.25" customHeight="1">
      <c r="A283" s="4"/>
      <c r="B283" s="6"/>
      <c r="C283" s="6"/>
      <c r="D283" s="6"/>
      <c r="E283" s="6"/>
      <c r="F283" s="6"/>
      <c r="G283" s="6"/>
      <c r="H283" s="6"/>
      <c r="I283" s="9"/>
    </row>
    <row r="284" spans="1:9" ht="14.25" customHeight="1">
      <c r="A284" s="4"/>
      <c r="B284" s="6"/>
      <c r="C284" s="6"/>
      <c r="D284" s="6"/>
      <c r="E284" s="6"/>
      <c r="F284" s="6"/>
      <c r="G284" s="6"/>
      <c r="H284" s="6"/>
      <c r="I284" s="9"/>
    </row>
    <row r="285" spans="1:9" ht="14.25" customHeight="1">
      <c r="A285" s="4"/>
      <c r="B285" s="6"/>
      <c r="C285" s="6"/>
      <c r="D285" s="6"/>
      <c r="E285" s="6"/>
      <c r="F285" s="6"/>
      <c r="G285" s="6"/>
      <c r="H285" s="6"/>
      <c r="I285" s="9"/>
    </row>
    <row r="286" spans="1:9" ht="14.25" customHeight="1">
      <c r="A286" s="4"/>
      <c r="B286" s="6"/>
      <c r="C286" s="6"/>
      <c r="D286" s="6"/>
      <c r="E286" s="6"/>
      <c r="F286" s="6"/>
      <c r="G286" s="6"/>
      <c r="H286" s="6"/>
      <c r="I286" s="9"/>
    </row>
    <row r="287" spans="1:9" ht="14.25" customHeight="1">
      <c r="A287" s="4"/>
      <c r="B287" s="6"/>
      <c r="C287" s="6"/>
      <c r="D287" s="6"/>
      <c r="E287" s="6"/>
      <c r="F287" s="6"/>
      <c r="G287" s="6"/>
      <c r="H287" s="6"/>
      <c r="I287" s="9"/>
    </row>
    <row r="288" spans="1:9" ht="14.25" customHeight="1">
      <c r="A288" s="4"/>
      <c r="B288" s="6"/>
      <c r="C288" s="6"/>
      <c r="D288" s="6"/>
      <c r="E288" s="6"/>
      <c r="F288" s="6"/>
      <c r="G288" s="6"/>
      <c r="H288" s="6"/>
      <c r="I288" s="9"/>
    </row>
    <row r="289" spans="1:9" ht="14.25" customHeight="1">
      <c r="A289" s="4"/>
      <c r="B289" s="6"/>
      <c r="C289" s="6"/>
      <c r="D289" s="6"/>
      <c r="E289" s="6"/>
      <c r="F289" s="6"/>
      <c r="G289" s="6"/>
      <c r="H289" s="6"/>
      <c r="I289" s="9"/>
    </row>
    <row r="290" spans="1:9" ht="14.25" customHeight="1">
      <c r="A290" s="4"/>
      <c r="B290" s="6"/>
      <c r="C290" s="6"/>
      <c r="D290" s="6"/>
      <c r="E290" s="6"/>
      <c r="F290" s="6"/>
      <c r="G290" s="6"/>
      <c r="H290" s="6"/>
      <c r="I290" s="9"/>
    </row>
    <row r="291" spans="1:9" ht="14.25" customHeight="1">
      <c r="A291" s="4"/>
      <c r="B291" s="6"/>
      <c r="C291" s="6"/>
      <c r="D291" s="6"/>
      <c r="E291" s="6"/>
      <c r="F291" s="6"/>
      <c r="G291" s="6"/>
      <c r="H291" s="6"/>
      <c r="I291" s="9"/>
    </row>
    <row r="292" spans="1:9" ht="14.25" customHeight="1">
      <c r="A292" s="4"/>
      <c r="B292" s="6"/>
      <c r="C292" s="6"/>
      <c r="D292" s="6"/>
      <c r="E292" s="6"/>
      <c r="F292" s="6"/>
      <c r="G292" s="6"/>
      <c r="H292" s="6"/>
      <c r="I292" s="9"/>
    </row>
    <row r="293" spans="1:9" ht="14.25" customHeight="1">
      <c r="A293" s="4"/>
      <c r="B293" s="6"/>
      <c r="C293" s="6"/>
      <c r="D293" s="6"/>
      <c r="E293" s="6"/>
      <c r="F293" s="6"/>
      <c r="G293" s="6"/>
      <c r="H293" s="6"/>
      <c r="I293" s="9"/>
    </row>
    <row r="294" spans="1:9" ht="14.25" customHeight="1">
      <c r="A294" s="4"/>
      <c r="B294" s="6"/>
      <c r="C294" s="6"/>
      <c r="D294" s="6"/>
      <c r="E294" s="6"/>
      <c r="F294" s="6"/>
      <c r="G294" s="6"/>
      <c r="H294" s="6"/>
      <c r="I294" s="9"/>
    </row>
    <row r="295" spans="1:9" ht="14.25" customHeight="1">
      <c r="A295" s="4"/>
      <c r="B295" s="6"/>
      <c r="C295" s="6"/>
      <c r="D295" s="6"/>
      <c r="E295" s="6"/>
      <c r="F295" s="6"/>
      <c r="G295" s="6"/>
      <c r="H295" s="6"/>
      <c r="I295" s="9"/>
    </row>
    <row r="296" spans="1:9" ht="14.25" customHeight="1">
      <c r="A296" s="4"/>
      <c r="B296" s="6"/>
      <c r="C296" s="6"/>
      <c r="D296" s="6"/>
      <c r="E296" s="6"/>
      <c r="F296" s="6"/>
      <c r="G296" s="6"/>
      <c r="H296" s="6"/>
      <c r="I296" s="9"/>
    </row>
    <row r="297" spans="1:9" ht="14.25" customHeight="1">
      <c r="A297" s="4"/>
      <c r="B297" s="6"/>
      <c r="C297" s="6"/>
      <c r="D297" s="6"/>
      <c r="E297" s="6"/>
      <c r="F297" s="6"/>
      <c r="G297" s="6"/>
      <c r="H297" s="6"/>
      <c r="I297" s="9"/>
    </row>
    <row r="298" spans="1:9" ht="14.25" customHeight="1">
      <c r="A298" s="4"/>
      <c r="B298" s="6"/>
      <c r="C298" s="6"/>
      <c r="D298" s="6"/>
      <c r="E298" s="6"/>
      <c r="F298" s="6"/>
      <c r="G298" s="6"/>
      <c r="H298" s="6"/>
      <c r="I298" s="9"/>
    </row>
    <row r="299" spans="1:9" ht="14.25" customHeight="1">
      <c r="A299" s="4"/>
      <c r="B299" s="6"/>
      <c r="C299" s="6"/>
      <c r="D299" s="6"/>
      <c r="E299" s="6"/>
      <c r="F299" s="6"/>
      <c r="G299" s="6"/>
      <c r="H299" s="6"/>
      <c r="I299" s="9"/>
    </row>
    <row r="300" spans="1:9" ht="14.25" customHeight="1">
      <c r="A300" s="4"/>
      <c r="B300" s="6"/>
      <c r="C300" s="6"/>
      <c r="D300" s="6"/>
      <c r="E300" s="6"/>
      <c r="F300" s="6"/>
      <c r="G300" s="6"/>
      <c r="H300" s="6"/>
      <c r="I300" s="9"/>
    </row>
    <row r="301" spans="1:9" ht="14.25" customHeight="1">
      <c r="A301" s="4"/>
      <c r="B301" s="6"/>
      <c r="C301" s="6"/>
      <c r="D301" s="6"/>
      <c r="E301" s="6"/>
      <c r="F301" s="6"/>
      <c r="G301" s="6"/>
      <c r="H301" s="6"/>
      <c r="I301" s="9"/>
    </row>
    <row r="302" spans="1:9" ht="14.25" customHeight="1">
      <c r="A302" s="4"/>
      <c r="B302" s="6"/>
      <c r="C302" s="6"/>
      <c r="D302" s="6"/>
      <c r="E302" s="6"/>
      <c r="F302" s="6"/>
      <c r="G302" s="6"/>
      <c r="H302" s="6"/>
      <c r="I302" s="9"/>
    </row>
    <row r="303" spans="1:9" ht="14.25" customHeight="1">
      <c r="A303" s="4"/>
      <c r="B303" s="6"/>
      <c r="C303" s="6"/>
      <c r="D303" s="6"/>
      <c r="E303" s="6"/>
      <c r="F303" s="6"/>
      <c r="G303" s="6"/>
      <c r="H303" s="6"/>
      <c r="I303" s="9"/>
    </row>
    <row r="304" spans="1:9" ht="14.25" customHeight="1">
      <c r="A304" s="4"/>
      <c r="B304" s="6"/>
      <c r="C304" s="6"/>
      <c r="D304" s="6"/>
      <c r="E304" s="6"/>
      <c r="F304" s="6"/>
      <c r="G304" s="6"/>
      <c r="H304" s="6"/>
      <c r="I304" s="9"/>
    </row>
    <row r="305" spans="1:9" ht="14.25" customHeight="1">
      <c r="A305" s="4"/>
      <c r="B305" s="6"/>
      <c r="C305" s="6"/>
      <c r="D305" s="6"/>
      <c r="E305" s="6"/>
      <c r="F305" s="6"/>
      <c r="G305" s="6"/>
      <c r="H305" s="6"/>
      <c r="I305" s="9"/>
    </row>
    <row r="306" spans="1:9" ht="14.25" customHeight="1">
      <c r="A306" s="4"/>
      <c r="B306" s="6"/>
      <c r="C306" s="6"/>
      <c r="D306" s="6"/>
      <c r="E306" s="6"/>
      <c r="F306" s="6"/>
      <c r="G306" s="6"/>
      <c r="H306" s="6"/>
      <c r="I306" s="9"/>
    </row>
    <row r="307" spans="1:9" ht="14.25" customHeight="1">
      <c r="A307" s="4"/>
      <c r="B307" s="6"/>
      <c r="C307" s="6"/>
      <c r="D307" s="6"/>
      <c r="E307" s="6"/>
      <c r="F307" s="6"/>
      <c r="G307" s="6"/>
      <c r="H307" s="6"/>
      <c r="I307" s="9"/>
    </row>
    <row r="308" spans="1:9" ht="14.25" customHeight="1">
      <c r="A308" s="4"/>
      <c r="B308" s="6"/>
      <c r="C308" s="6"/>
      <c r="D308" s="6"/>
      <c r="E308" s="6"/>
      <c r="F308" s="6"/>
      <c r="G308" s="6"/>
      <c r="H308" s="6"/>
      <c r="I308" s="9"/>
    </row>
    <row r="309" spans="1:9" ht="14.25" customHeight="1">
      <c r="A309" s="4"/>
      <c r="B309" s="6"/>
      <c r="C309" s="6"/>
      <c r="D309" s="6"/>
      <c r="E309" s="6"/>
      <c r="F309" s="6"/>
      <c r="G309" s="6"/>
      <c r="H309" s="6"/>
      <c r="I309" s="9"/>
    </row>
    <row r="310" spans="1:9" ht="14.25" customHeight="1">
      <c r="A310" s="4"/>
      <c r="B310" s="6"/>
      <c r="C310" s="6"/>
      <c r="D310" s="6"/>
      <c r="E310" s="6"/>
      <c r="F310" s="6"/>
      <c r="G310" s="6"/>
      <c r="H310" s="6"/>
      <c r="I310" s="9"/>
    </row>
    <row r="311" spans="1:9" ht="14.25" customHeight="1">
      <c r="A311" s="4"/>
      <c r="B311" s="6"/>
      <c r="C311" s="6"/>
      <c r="D311" s="6"/>
      <c r="E311" s="6"/>
      <c r="F311" s="6"/>
      <c r="G311" s="6"/>
      <c r="H311" s="6"/>
      <c r="I311" s="9"/>
    </row>
    <row r="312" spans="1:9" ht="14.25" customHeight="1">
      <c r="A312" s="4"/>
      <c r="B312" s="6"/>
      <c r="C312" s="6"/>
      <c r="D312" s="6"/>
      <c r="E312" s="6"/>
      <c r="F312" s="6"/>
      <c r="G312" s="6"/>
      <c r="H312" s="6"/>
      <c r="I312" s="9"/>
    </row>
    <row r="313" spans="1:9" ht="14.25" customHeight="1">
      <c r="A313" s="4"/>
      <c r="B313" s="6"/>
      <c r="C313" s="6"/>
      <c r="D313" s="6"/>
      <c r="E313" s="6"/>
      <c r="F313" s="6"/>
      <c r="G313" s="6"/>
      <c r="H313" s="6"/>
      <c r="I313" s="9"/>
    </row>
    <row r="314" spans="1:9" ht="14.25" customHeight="1">
      <c r="A314" s="4"/>
      <c r="B314" s="6"/>
      <c r="C314" s="6"/>
      <c r="D314" s="6"/>
      <c r="E314" s="6"/>
      <c r="F314" s="6"/>
      <c r="G314" s="6"/>
      <c r="H314" s="6"/>
      <c r="I314" s="9"/>
    </row>
    <row r="315" spans="1:9" ht="14.25" customHeight="1">
      <c r="A315" s="4"/>
      <c r="B315" s="6"/>
      <c r="C315" s="6"/>
      <c r="D315" s="6"/>
      <c r="E315" s="6"/>
      <c r="F315" s="6"/>
      <c r="G315" s="6"/>
      <c r="H315" s="6"/>
      <c r="I315" s="9"/>
    </row>
    <row r="316" spans="1:9" ht="14.25" customHeight="1">
      <c r="A316" s="4"/>
      <c r="B316" s="6"/>
      <c r="C316" s="6"/>
      <c r="D316" s="6"/>
      <c r="E316" s="6"/>
      <c r="F316" s="6"/>
      <c r="G316" s="6"/>
      <c r="H316" s="6"/>
      <c r="I316" s="9"/>
    </row>
    <row r="317" spans="1:9" ht="14.25" customHeight="1">
      <c r="A317" s="4"/>
      <c r="B317" s="6"/>
      <c r="C317" s="6"/>
      <c r="D317" s="6"/>
      <c r="E317" s="6"/>
      <c r="F317" s="6"/>
      <c r="G317" s="6"/>
      <c r="H317" s="6"/>
      <c r="I317" s="9"/>
    </row>
    <row r="318" spans="1:9" ht="14.25" customHeight="1">
      <c r="A318" s="4"/>
      <c r="B318" s="6"/>
      <c r="C318" s="6"/>
      <c r="D318" s="6"/>
      <c r="E318" s="6"/>
      <c r="F318" s="6"/>
      <c r="G318" s="6"/>
      <c r="H318" s="6"/>
      <c r="I318" s="9"/>
    </row>
    <row r="319" spans="1:9" ht="14.25" customHeight="1">
      <c r="A319" s="4"/>
      <c r="B319" s="6"/>
      <c r="C319" s="6"/>
      <c r="D319" s="6"/>
      <c r="E319" s="6"/>
      <c r="F319" s="6"/>
      <c r="G319" s="6"/>
      <c r="H319" s="6"/>
      <c r="I319" s="9"/>
    </row>
    <row r="320" spans="1:9" ht="14.25" customHeight="1">
      <c r="A320" s="4"/>
      <c r="B320" s="6"/>
      <c r="C320" s="6"/>
      <c r="D320" s="6"/>
      <c r="E320" s="6"/>
      <c r="F320" s="6"/>
      <c r="G320" s="6"/>
      <c r="H320" s="6"/>
      <c r="I320" s="9"/>
    </row>
    <row r="321" spans="1:9" ht="14.25" customHeight="1">
      <c r="A321" s="4"/>
      <c r="B321" s="6"/>
      <c r="C321" s="6"/>
      <c r="D321" s="6"/>
      <c r="E321" s="6"/>
      <c r="F321" s="6"/>
      <c r="G321" s="6"/>
      <c r="H321" s="6"/>
      <c r="I321" s="9"/>
    </row>
    <row r="322" spans="1:9" ht="14.25" customHeight="1">
      <c r="A322" s="4"/>
      <c r="B322" s="6"/>
      <c r="C322" s="6"/>
      <c r="D322" s="6"/>
      <c r="E322" s="6"/>
      <c r="F322" s="6"/>
      <c r="G322" s="6"/>
      <c r="H322" s="6"/>
      <c r="I322" s="9"/>
    </row>
    <row r="323" spans="1:9" ht="14.25" customHeight="1">
      <c r="A323" s="4"/>
      <c r="B323" s="6"/>
      <c r="C323" s="6"/>
      <c r="D323" s="6"/>
      <c r="E323" s="6"/>
      <c r="F323" s="6"/>
      <c r="G323" s="6"/>
      <c r="H323" s="6"/>
      <c r="I323" s="9"/>
    </row>
    <row r="324" spans="1:9" ht="14.25" customHeight="1">
      <c r="A324" s="4"/>
      <c r="B324" s="6"/>
      <c r="C324" s="6"/>
      <c r="D324" s="6"/>
      <c r="E324" s="6"/>
      <c r="F324" s="6"/>
      <c r="G324" s="6"/>
      <c r="H324" s="6"/>
      <c r="I324" s="9"/>
    </row>
    <row r="325" spans="1:9" ht="14.25" customHeight="1">
      <c r="A325" s="4"/>
      <c r="B325" s="6"/>
      <c r="C325" s="6"/>
      <c r="D325" s="6"/>
      <c r="E325" s="6"/>
      <c r="F325" s="6"/>
      <c r="G325" s="6"/>
      <c r="H325" s="6"/>
      <c r="I325" s="9"/>
    </row>
    <row r="326" spans="1:9" ht="14.25" customHeight="1">
      <c r="A326" s="4"/>
      <c r="B326" s="6"/>
      <c r="C326" s="6"/>
      <c r="D326" s="6"/>
      <c r="E326" s="6"/>
      <c r="F326" s="6"/>
      <c r="G326" s="6"/>
      <c r="H326" s="6"/>
      <c r="I326" s="9"/>
    </row>
    <row r="327" spans="1:9" ht="14.25" customHeight="1">
      <c r="A327" s="4"/>
      <c r="B327" s="6"/>
      <c r="C327" s="6"/>
      <c r="D327" s="6"/>
      <c r="E327" s="6"/>
      <c r="F327" s="6"/>
      <c r="G327" s="6"/>
      <c r="H327" s="6"/>
      <c r="I327" s="9"/>
    </row>
    <row r="328" spans="1:9" ht="14.25" customHeight="1">
      <c r="A328" s="4"/>
      <c r="B328" s="6"/>
      <c r="C328" s="6"/>
      <c r="D328" s="6"/>
      <c r="E328" s="6"/>
      <c r="F328" s="6"/>
      <c r="G328" s="6"/>
      <c r="H328" s="6"/>
      <c r="I328" s="9"/>
    </row>
    <row r="329" spans="1:9" ht="14.25" customHeight="1">
      <c r="A329" s="4"/>
      <c r="B329" s="6"/>
      <c r="C329" s="6"/>
      <c r="D329" s="6"/>
      <c r="E329" s="6"/>
      <c r="F329" s="6"/>
      <c r="G329" s="6"/>
      <c r="H329" s="6"/>
      <c r="I329" s="9"/>
    </row>
    <row r="330" spans="1:9" ht="14.25" customHeight="1">
      <c r="A330" s="4"/>
      <c r="B330" s="6"/>
      <c r="C330" s="6"/>
      <c r="D330" s="6"/>
      <c r="E330" s="6"/>
      <c r="F330" s="6"/>
      <c r="G330" s="6"/>
      <c r="H330" s="6"/>
      <c r="I330" s="9"/>
    </row>
    <row r="331" spans="1:9" ht="14.25" customHeight="1">
      <c r="A331" s="4"/>
      <c r="B331" s="6"/>
      <c r="C331" s="6"/>
      <c r="D331" s="6"/>
      <c r="E331" s="6"/>
      <c r="F331" s="6"/>
      <c r="G331" s="6"/>
      <c r="H331" s="6"/>
      <c r="I331" s="9"/>
    </row>
    <row r="332" spans="1:9" ht="14.25" customHeight="1">
      <c r="A332" s="4"/>
      <c r="B332" s="6"/>
      <c r="C332" s="6"/>
      <c r="D332" s="6"/>
      <c r="E332" s="6"/>
      <c r="F332" s="6"/>
      <c r="G332" s="6"/>
      <c r="H332" s="6"/>
      <c r="I332" s="9"/>
    </row>
    <row r="333" spans="1:9" ht="14.25" customHeight="1">
      <c r="A333" s="4"/>
      <c r="B333" s="6"/>
      <c r="C333" s="6"/>
      <c r="D333" s="6"/>
      <c r="E333" s="6"/>
      <c r="F333" s="6"/>
      <c r="G333" s="6"/>
      <c r="H333" s="6"/>
      <c r="I333" s="9"/>
    </row>
    <row r="334" spans="1:9" ht="14.25" customHeight="1">
      <c r="A334" s="4"/>
      <c r="B334" s="6"/>
      <c r="C334" s="6"/>
      <c r="D334" s="6"/>
      <c r="E334" s="6"/>
      <c r="F334" s="6"/>
      <c r="G334" s="6"/>
      <c r="H334" s="6"/>
      <c r="I334" s="9"/>
    </row>
    <row r="335" spans="1:9" ht="14.25" customHeight="1">
      <c r="A335" s="4"/>
      <c r="B335" s="6"/>
      <c r="C335" s="6"/>
      <c r="D335" s="6"/>
      <c r="E335" s="6"/>
      <c r="F335" s="6"/>
      <c r="G335" s="6"/>
      <c r="H335" s="6"/>
      <c r="I335" s="9"/>
    </row>
    <row r="336" spans="1:9" ht="14.25" customHeight="1">
      <c r="A336" s="4"/>
      <c r="B336" s="6"/>
      <c r="C336" s="6"/>
      <c r="D336" s="6"/>
      <c r="E336" s="6"/>
      <c r="F336" s="6"/>
      <c r="G336" s="6"/>
      <c r="H336" s="6"/>
      <c r="I336" s="9"/>
    </row>
    <row r="337" spans="1:9" ht="14.25" customHeight="1">
      <c r="A337" s="4"/>
      <c r="B337" s="6"/>
      <c r="C337" s="6"/>
      <c r="D337" s="6"/>
      <c r="E337" s="6"/>
      <c r="F337" s="6"/>
      <c r="G337" s="6"/>
      <c r="H337" s="6"/>
      <c r="I337" s="9"/>
    </row>
    <row r="338" spans="1:9" ht="14.25" customHeight="1">
      <c r="A338" s="4"/>
      <c r="B338" s="6"/>
      <c r="C338" s="6"/>
      <c r="D338" s="6"/>
      <c r="E338" s="6"/>
      <c r="F338" s="6"/>
      <c r="G338" s="6"/>
      <c r="H338" s="6"/>
      <c r="I338" s="9"/>
    </row>
    <row r="339" spans="1:9" ht="14.25" customHeight="1">
      <c r="A339" s="4"/>
      <c r="B339" s="6"/>
      <c r="C339" s="6"/>
      <c r="D339" s="6"/>
      <c r="E339" s="6"/>
      <c r="F339" s="6"/>
      <c r="G339" s="6"/>
      <c r="H339" s="6"/>
      <c r="I339" s="9"/>
    </row>
    <row r="340" spans="1:9" ht="14.25" customHeight="1">
      <c r="A340" s="4"/>
      <c r="B340" s="6"/>
      <c r="C340" s="6"/>
      <c r="D340" s="6"/>
      <c r="E340" s="6"/>
      <c r="F340" s="6"/>
      <c r="G340" s="6"/>
      <c r="H340" s="6"/>
      <c r="I340" s="9"/>
    </row>
    <row r="341" spans="1:9" ht="14.25" customHeight="1">
      <c r="A341" s="4"/>
      <c r="B341" s="6"/>
      <c r="C341" s="6"/>
      <c r="D341" s="6"/>
      <c r="E341" s="6"/>
      <c r="F341" s="6"/>
      <c r="G341" s="6"/>
      <c r="H341" s="6"/>
      <c r="I341" s="9"/>
    </row>
    <row r="342" spans="1:9" ht="14.25" customHeight="1">
      <c r="A342" s="4"/>
      <c r="B342" s="6"/>
      <c r="C342" s="6"/>
      <c r="D342" s="6"/>
      <c r="E342" s="6"/>
      <c r="F342" s="6"/>
      <c r="G342" s="6"/>
      <c r="H342" s="6"/>
      <c r="I342" s="9"/>
    </row>
    <row r="343" spans="1:9" ht="14.25" customHeight="1">
      <c r="A343" s="4"/>
      <c r="B343" s="6"/>
      <c r="C343" s="6"/>
      <c r="D343" s="6"/>
      <c r="E343" s="6"/>
      <c r="F343" s="6"/>
      <c r="G343" s="6"/>
      <c r="H343" s="6"/>
      <c r="I343" s="9"/>
    </row>
    <row r="344" spans="1:9" ht="14.25" customHeight="1">
      <c r="A344" s="4"/>
      <c r="B344" s="6"/>
      <c r="C344" s="6"/>
      <c r="D344" s="6"/>
      <c r="E344" s="6"/>
      <c r="F344" s="6"/>
      <c r="G344" s="6"/>
      <c r="H344" s="6"/>
      <c r="I344" s="9"/>
    </row>
    <row r="345" spans="1:9" ht="14.25" customHeight="1">
      <c r="A345" s="4"/>
      <c r="B345" s="6"/>
      <c r="C345" s="6"/>
      <c r="D345" s="6"/>
      <c r="E345" s="6"/>
      <c r="F345" s="6"/>
      <c r="G345" s="6"/>
      <c r="H345" s="6"/>
      <c r="I345" s="9"/>
    </row>
    <row r="346" spans="1:9" ht="14.25" customHeight="1">
      <c r="A346" s="4"/>
      <c r="B346" s="6"/>
      <c r="C346" s="6"/>
      <c r="D346" s="6"/>
      <c r="E346" s="6"/>
      <c r="F346" s="6"/>
      <c r="G346" s="6"/>
      <c r="H346" s="6"/>
      <c r="I346" s="9"/>
    </row>
    <row r="347" spans="1:9" ht="14.25" customHeight="1">
      <c r="A347" s="4"/>
      <c r="B347" s="6"/>
      <c r="C347" s="6"/>
      <c r="D347" s="6"/>
      <c r="E347" s="6"/>
      <c r="F347" s="6"/>
      <c r="G347" s="6"/>
      <c r="H347" s="6"/>
      <c r="I347" s="9"/>
    </row>
    <row r="348" spans="1:9" ht="14.25" customHeight="1">
      <c r="A348" s="4"/>
      <c r="B348" s="6"/>
      <c r="C348" s="6"/>
      <c r="D348" s="6"/>
      <c r="E348" s="6"/>
      <c r="F348" s="6"/>
      <c r="G348" s="6"/>
      <c r="H348" s="6"/>
      <c r="I348" s="9"/>
    </row>
    <row r="349" spans="1:9" ht="14.25" customHeight="1">
      <c r="A349" s="4"/>
      <c r="B349" s="6"/>
      <c r="C349" s="6"/>
      <c r="D349" s="6"/>
      <c r="E349" s="6"/>
      <c r="F349" s="6"/>
      <c r="G349" s="6"/>
      <c r="H349" s="6"/>
      <c r="I349" s="9"/>
    </row>
    <row r="350" spans="1:9" ht="14.25" customHeight="1">
      <c r="A350" s="4"/>
      <c r="B350" s="6"/>
      <c r="C350" s="6"/>
      <c r="D350" s="6"/>
      <c r="E350" s="6"/>
      <c r="F350" s="6"/>
      <c r="G350" s="6"/>
      <c r="H350" s="6"/>
      <c r="I350" s="9"/>
    </row>
    <row r="351" spans="1:9" ht="14.25" customHeight="1">
      <c r="A351" s="4"/>
      <c r="B351" s="6"/>
      <c r="C351" s="6"/>
      <c r="D351" s="6"/>
      <c r="E351" s="6"/>
      <c r="F351" s="6"/>
      <c r="G351" s="6"/>
      <c r="H351" s="6"/>
      <c r="I351" s="9"/>
    </row>
    <row r="352" spans="1:9" ht="14.25" customHeight="1">
      <c r="A352" s="4"/>
      <c r="B352" s="6"/>
      <c r="C352" s="6"/>
      <c r="D352" s="6"/>
      <c r="E352" s="6"/>
      <c r="F352" s="6"/>
      <c r="G352" s="6"/>
      <c r="H352" s="6"/>
      <c r="I352" s="9"/>
    </row>
    <row r="353" spans="1:9" ht="14.25" customHeight="1">
      <c r="A353" s="4"/>
      <c r="B353" s="6"/>
      <c r="C353" s="6"/>
      <c r="D353" s="6"/>
      <c r="E353" s="6"/>
      <c r="F353" s="6"/>
      <c r="G353" s="6"/>
      <c r="H353" s="6"/>
      <c r="I353" s="9"/>
    </row>
    <row r="354" spans="1:9" ht="14.25" customHeight="1">
      <c r="A354" s="4"/>
      <c r="B354" s="6"/>
      <c r="C354" s="6"/>
      <c r="D354" s="6"/>
      <c r="E354" s="6"/>
      <c r="F354" s="6"/>
      <c r="G354" s="6"/>
      <c r="H354" s="6"/>
      <c r="I354" s="9"/>
    </row>
    <row r="355" spans="1:9" ht="14.25" customHeight="1">
      <c r="A355" s="4"/>
      <c r="B355" s="6"/>
      <c r="C355" s="6"/>
      <c r="D355" s="6"/>
      <c r="E355" s="6"/>
      <c r="F355" s="6"/>
      <c r="G355" s="6"/>
      <c r="H355" s="6"/>
      <c r="I355" s="9"/>
    </row>
    <row r="356" spans="1:9" ht="14.25" customHeight="1">
      <c r="A356" s="4"/>
      <c r="B356" s="6"/>
      <c r="C356" s="6"/>
      <c r="D356" s="6"/>
      <c r="E356" s="6"/>
      <c r="F356" s="6"/>
      <c r="G356" s="6"/>
      <c r="H356" s="6"/>
      <c r="I356" s="9"/>
    </row>
    <row r="357" spans="1:9" ht="14.25" customHeight="1">
      <c r="A357" s="4"/>
      <c r="B357" s="6"/>
      <c r="C357" s="6"/>
      <c r="D357" s="6"/>
      <c r="E357" s="6"/>
      <c r="F357" s="6"/>
      <c r="G357" s="6"/>
      <c r="H357" s="6"/>
      <c r="I357" s="9"/>
    </row>
    <row r="358" spans="1:9" ht="14.25" customHeight="1">
      <c r="A358" s="4"/>
      <c r="B358" s="6"/>
      <c r="C358" s="6"/>
      <c r="D358" s="6"/>
      <c r="E358" s="6"/>
      <c r="F358" s="6"/>
      <c r="G358" s="6"/>
      <c r="H358" s="6"/>
      <c r="I358" s="9"/>
    </row>
    <row r="359" spans="1:9" ht="14.25" customHeight="1">
      <c r="A359" s="4"/>
      <c r="B359" s="6"/>
      <c r="C359" s="6"/>
      <c r="D359" s="6"/>
      <c r="E359" s="6"/>
      <c r="F359" s="6"/>
      <c r="G359" s="6"/>
      <c r="H359" s="6"/>
      <c r="I359" s="9"/>
    </row>
    <row r="360" spans="1:9" ht="14.25" customHeight="1">
      <c r="A360" s="4"/>
      <c r="B360" s="6"/>
      <c r="C360" s="6"/>
      <c r="D360" s="6"/>
      <c r="E360" s="6"/>
      <c r="F360" s="6"/>
      <c r="G360" s="6"/>
      <c r="H360" s="6"/>
      <c r="I360" s="9"/>
    </row>
    <row r="361" spans="1:9" ht="14.25" customHeight="1">
      <c r="A361" s="4"/>
      <c r="B361" s="6"/>
      <c r="C361" s="6"/>
      <c r="D361" s="6"/>
      <c r="E361" s="6"/>
      <c r="F361" s="6"/>
      <c r="G361" s="6"/>
      <c r="H361" s="6"/>
      <c r="I361" s="9"/>
    </row>
    <row r="362" spans="1:9" ht="14.25" customHeight="1">
      <c r="A362" s="4"/>
      <c r="B362" s="6"/>
      <c r="C362" s="6"/>
      <c r="D362" s="6"/>
      <c r="E362" s="6"/>
      <c r="F362" s="6"/>
      <c r="G362" s="6"/>
      <c r="H362" s="6"/>
      <c r="I362" s="9"/>
    </row>
    <row r="363" spans="1:9" ht="14.25" customHeight="1">
      <c r="A363" s="4"/>
      <c r="B363" s="6"/>
      <c r="C363" s="6"/>
      <c r="D363" s="6"/>
      <c r="E363" s="6"/>
      <c r="F363" s="6"/>
      <c r="G363" s="6"/>
      <c r="H363" s="6"/>
      <c r="I363" s="9"/>
    </row>
    <row r="364" spans="1:9" ht="14.25" customHeight="1">
      <c r="A364" s="4"/>
      <c r="B364" s="6"/>
      <c r="C364" s="6"/>
      <c r="D364" s="6"/>
      <c r="E364" s="6"/>
      <c r="F364" s="6"/>
      <c r="G364" s="6"/>
      <c r="H364" s="6"/>
      <c r="I364" s="9"/>
    </row>
    <row r="365" spans="1:9" ht="14.25" customHeight="1">
      <c r="A365" s="4"/>
      <c r="B365" s="6"/>
      <c r="C365" s="6"/>
      <c r="D365" s="6"/>
      <c r="E365" s="6"/>
      <c r="F365" s="6"/>
      <c r="G365" s="6"/>
      <c r="H365" s="6"/>
      <c r="I365" s="9"/>
    </row>
    <row r="366" spans="1:9" ht="14.25" customHeight="1">
      <c r="A366" s="4"/>
      <c r="B366" s="6"/>
      <c r="C366" s="6"/>
      <c r="D366" s="6"/>
      <c r="E366" s="6"/>
      <c r="F366" s="6"/>
      <c r="G366" s="6"/>
      <c r="H366" s="6"/>
      <c r="I366" s="9"/>
    </row>
    <row r="367" spans="1:9" ht="14.25" customHeight="1">
      <c r="A367" s="4"/>
      <c r="B367" s="6"/>
      <c r="C367" s="6"/>
      <c r="D367" s="6"/>
      <c r="E367" s="6"/>
      <c r="F367" s="6"/>
      <c r="G367" s="6"/>
      <c r="H367" s="6"/>
      <c r="I367" s="9"/>
    </row>
    <row r="368" spans="1:9" ht="14.25" customHeight="1">
      <c r="A368" s="4"/>
      <c r="B368" s="6"/>
      <c r="C368" s="6"/>
      <c r="D368" s="6"/>
      <c r="E368" s="6"/>
      <c r="F368" s="6"/>
      <c r="G368" s="6"/>
      <c r="H368" s="6"/>
      <c r="I368" s="9"/>
    </row>
    <row r="369" spans="1:9" ht="14.25" customHeight="1">
      <c r="A369" s="4"/>
      <c r="B369" s="6"/>
      <c r="C369" s="6"/>
      <c r="D369" s="6"/>
      <c r="E369" s="6"/>
      <c r="F369" s="6"/>
      <c r="G369" s="6"/>
      <c r="H369" s="6"/>
      <c r="I369" s="9"/>
    </row>
    <row r="370" spans="1:9" ht="14.25" customHeight="1">
      <c r="A370" s="4"/>
      <c r="B370" s="6"/>
      <c r="C370" s="6"/>
      <c r="D370" s="6"/>
      <c r="E370" s="6"/>
      <c r="F370" s="6"/>
      <c r="G370" s="6"/>
      <c r="H370" s="6"/>
      <c r="I370" s="9"/>
    </row>
    <row r="371" spans="1:9" ht="14.25" customHeight="1">
      <c r="A371" s="4"/>
      <c r="B371" s="6"/>
      <c r="C371" s="6"/>
      <c r="D371" s="6"/>
      <c r="E371" s="6"/>
      <c r="F371" s="6"/>
      <c r="G371" s="6"/>
      <c r="H371" s="6"/>
      <c r="I371" s="9"/>
    </row>
    <row r="372" spans="1:9" ht="14.25" customHeight="1">
      <c r="A372" s="4"/>
      <c r="B372" s="6"/>
      <c r="C372" s="6"/>
      <c r="D372" s="6"/>
      <c r="E372" s="6"/>
      <c r="F372" s="6"/>
      <c r="G372" s="6"/>
      <c r="H372" s="6"/>
      <c r="I372" s="9"/>
    </row>
    <row r="373" spans="1:9" ht="14.25" customHeight="1">
      <c r="A373" s="4"/>
      <c r="B373" s="6"/>
      <c r="C373" s="6"/>
      <c r="D373" s="6"/>
      <c r="E373" s="6"/>
      <c r="F373" s="6"/>
      <c r="G373" s="6"/>
      <c r="H373" s="6"/>
      <c r="I373" s="9"/>
    </row>
    <row r="374" spans="1:9" ht="14.25" customHeight="1">
      <c r="A374" s="4"/>
      <c r="B374" s="6"/>
      <c r="C374" s="6"/>
      <c r="D374" s="6"/>
      <c r="E374" s="6"/>
      <c r="F374" s="6"/>
      <c r="G374" s="6"/>
      <c r="H374" s="6"/>
      <c r="I374" s="9"/>
    </row>
    <row r="375" spans="1:9" ht="14.25" customHeight="1">
      <c r="A375" s="4"/>
      <c r="B375" s="6"/>
      <c r="C375" s="6"/>
      <c r="D375" s="6"/>
      <c r="E375" s="6"/>
      <c r="F375" s="6"/>
      <c r="G375" s="6"/>
      <c r="H375" s="6"/>
      <c r="I375" s="9"/>
    </row>
    <row r="376" spans="1:9" ht="14.25" customHeight="1">
      <c r="A376" s="4"/>
      <c r="B376" s="6"/>
      <c r="C376" s="6"/>
      <c r="D376" s="6"/>
      <c r="E376" s="6"/>
      <c r="F376" s="6"/>
      <c r="G376" s="6"/>
      <c r="H376" s="6"/>
      <c r="I376" s="9"/>
    </row>
    <row r="377" spans="1:9" ht="14.25" customHeight="1">
      <c r="A377" s="4"/>
      <c r="B377" s="6"/>
      <c r="C377" s="6"/>
      <c r="D377" s="6"/>
      <c r="E377" s="6"/>
      <c r="F377" s="6"/>
      <c r="G377" s="6"/>
      <c r="H377" s="6"/>
      <c r="I377" s="9"/>
    </row>
    <row r="378" spans="1:9" ht="14.25" customHeight="1">
      <c r="A378" s="4"/>
      <c r="B378" s="6"/>
      <c r="C378" s="6"/>
      <c r="D378" s="6"/>
      <c r="E378" s="6"/>
      <c r="F378" s="6"/>
      <c r="G378" s="6"/>
      <c r="H378" s="6"/>
      <c r="I378" s="9"/>
    </row>
    <row r="379" spans="1:9" ht="14.25" customHeight="1">
      <c r="A379" s="4"/>
      <c r="B379" s="6"/>
      <c r="C379" s="6"/>
      <c r="D379" s="6"/>
      <c r="E379" s="6"/>
      <c r="F379" s="6"/>
      <c r="G379" s="6"/>
      <c r="H379" s="6"/>
      <c r="I379" s="9"/>
    </row>
    <row r="380" spans="1:9" ht="14.25" customHeight="1">
      <c r="A380" s="4"/>
      <c r="B380" s="6"/>
      <c r="C380" s="6"/>
      <c r="D380" s="6"/>
      <c r="E380" s="6"/>
      <c r="F380" s="6"/>
      <c r="G380" s="6"/>
      <c r="H380" s="6"/>
      <c r="I380" s="9"/>
    </row>
    <row r="381" spans="1:9" ht="14.25" customHeight="1">
      <c r="A381" s="4"/>
      <c r="B381" s="6"/>
      <c r="C381" s="6"/>
      <c r="D381" s="6"/>
      <c r="E381" s="6"/>
      <c r="F381" s="6"/>
      <c r="G381" s="6"/>
      <c r="H381" s="6"/>
      <c r="I381" s="9"/>
    </row>
    <row r="382" spans="1:9" ht="14.25" customHeight="1">
      <c r="A382" s="4"/>
      <c r="B382" s="6"/>
      <c r="C382" s="6"/>
      <c r="D382" s="6"/>
      <c r="E382" s="6"/>
      <c r="F382" s="6"/>
      <c r="G382" s="6"/>
      <c r="H382" s="6"/>
      <c r="I382" s="9"/>
    </row>
    <row r="383" spans="1:9" ht="14.25" customHeight="1">
      <c r="A383" s="4"/>
      <c r="B383" s="6"/>
      <c r="C383" s="6"/>
      <c r="D383" s="6"/>
      <c r="E383" s="6"/>
      <c r="F383" s="6"/>
      <c r="G383" s="6"/>
      <c r="H383" s="6"/>
      <c r="I383" s="9"/>
    </row>
    <row r="384" spans="1:9" ht="14.25" customHeight="1">
      <c r="A384" s="4"/>
      <c r="B384" s="6"/>
      <c r="C384" s="6"/>
      <c r="D384" s="6"/>
      <c r="E384" s="6"/>
      <c r="F384" s="6"/>
      <c r="G384" s="6"/>
      <c r="H384" s="6"/>
      <c r="I384" s="9"/>
    </row>
    <row r="385" spans="1:9" ht="14.25" customHeight="1">
      <c r="A385" s="4"/>
      <c r="B385" s="6"/>
      <c r="C385" s="6"/>
      <c r="D385" s="6"/>
      <c r="E385" s="6"/>
      <c r="F385" s="6"/>
      <c r="G385" s="6"/>
      <c r="H385" s="6"/>
      <c r="I385" s="9"/>
    </row>
    <row r="386" spans="1:9" ht="14.25" customHeight="1">
      <c r="A386" s="4"/>
      <c r="B386" s="6"/>
      <c r="C386" s="6"/>
      <c r="D386" s="6"/>
      <c r="E386" s="6"/>
      <c r="F386" s="6"/>
      <c r="G386" s="6"/>
      <c r="H386" s="6"/>
      <c r="I386" s="9"/>
    </row>
    <row r="387" spans="1:9" ht="14.25" customHeight="1">
      <c r="A387" s="4"/>
      <c r="B387" s="6"/>
      <c r="C387" s="6"/>
      <c r="D387" s="6"/>
      <c r="E387" s="6"/>
      <c r="F387" s="6"/>
      <c r="G387" s="6"/>
      <c r="H387" s="6"/>
      <c r="I387" s="9"/>
    </row>
    <row r="388" spans="1:9" ht="14.25" customHeight="1">
      <c r="A388" s="4"/>
      <c r="B388" s="6"/>
      <c r="C388" s="6"/>
      <c r="D388" s="6"/>
      <c r="E388" s="6"/>
      <c r="F388" s="6"/>
      <c r="G388" s="6"/>
      <c r="H388" s="6"/>
      <c r="I388" s="9"/>
    </row>
    <row r="389" spans="1:9" ht="14.25" customHeight="1">
      <c r="A389" s="4"/>
      <c r="B389" s="6"/>
      <c r="C389" s="6"/>
      <c r="D389" s="6"/>
      <c r="E389" s="6"/>
      <c r="F389" s="6"/>
      <c r="G389" s="6"/>
      <c r="H389" s="6"/>
      <c r="I389" s="9"/>
    </row>
    <row r="390" spans="1:9" ht="14.25" customHeight="1">
      <c r="A390" s="4"/>
      <c r="B390" s="6"/>
      <c r="C390" s="6"/>
      <c r="D390" s="6"/>
      <c r="E390" s="6"/>
      <c r="F390" s="6"/>
      <c r="G390" s="6"/>
      <c r="H390" s="6"/>
      <c r="I390" s="9"/>
    </row>
    <row r="391" spans="1:9" ht="14.25" customHeight="1">
      <c r="A391" s="4"/>
      <c r="B391" s="6"/>
      <c r="C391" s="6"/>
      <c r="D391" s="6"/>
      <c r="E391" s="6"/>
      <c r="F391" s="6"/>
      <c r="G391" s="6"/>
      <c r="H391" s="6"/>
      <c r="I391" s="9"/>
    </row>
    <row r="392" spans="1:9" ht="14.25" customHeight="1">
      <c r="A392" s="4"/>
      <c r="B392" s="6"/>
      <c r="C392" s="6"/>
      <c r="D392" s="6"/>
      <c r="E392" s="6"/>
      <c r="F392" s="6"/>
      <c r="G392" s="6"/>
      <c r="H392" s="6"/>
      <c r="I392" s="9"/>
    </row>
    <row r="393" spans="1:9" ht="14.25" customHeight="1">
      <c r="A393" s="4"/>
      <c r="B393" s="6"/>
      <c r="C393" s="6"/>
      <c r="D393" s="6"/>
      <c r="E393" s="6"/>
      <c r="F393" s="6"/>
      <c r="G393" s="6"/>
      <c r="H393" s="6"/>
      <c r="I393" s="9"/>
    </row>
    <row r="394" spans="1:9" ht="14.25" customHeight="1">
      <c r="A394" s="4"/>
      <c r="B394" s="6"/>
      <c r="C394" s="6"/>
      <c r="D394" s="6"/>
      <c r="E394" s="6"/>
      <c r="F394" s="6"/>
      <c r="G394" s="6"/>
      <c r="H394" s="6"/>
      <c r="I394" s="9"/>
    </row>
    <row r="395" spans="1:9" ht="14.25" customHeight="1">
      <c r="A395" s="4"/>
      <c r="B395" s="6"/>
      <c r="C395" s="6"/>
      <c r="D395" s="6"/>
      <c r="E395" s="6"/>
      <c r="F395" s="6"/>
      <c r="G395" s="6"/>
      <c r="H395" s="6"/>
      <c r="I395" s="9"/>
    </row>
    <row r="396" spans="1:9" ht="14.25" customHeight="1">
      <c r="A396" s="4"/>
      <c r="B396" s="6"/>
      <c r="C396" s="6"/>
      <c r="D396" s="6"/>
      <c r="E396" s="6"/>
      <c r="F396" s="6"/>
      <c r="G396" s="6"/>
      <c r="H396" s="6"/>
      <c r="I396" s="9"/>
    </row>
    <row r="397" spans="1:9" ht="14.25" customHeight="1">
      <c r="A397" s="4"/>
      <c r="B397" s="6"/>
      <c r="C397" s="6"/>
      <c r="D397" s="6"/>
      <c r="E397" s="6"/>
      <c r="F397" s="6"/>
      <c r="G397" s="6"/>
      <c r="H397" s="6"/>
      <c r="I397" s="9"/>
    </row>
    <row r="398" spans="1:9" ht="14.25" customHeight="1">
      <c r="A398" s="4"/>
      <c r="B398" s="6"/>
      <c r="C398" s="6"/>
      <c r="D398" s="6"/>
      <c r="E398" s="6"/>
      <c r="F398" s="6"/>
      <c r="G398" s="6"/>
      <c r="H398" s="6"/>
      <c r="I398" s="9"/>
    </row>
    <row r="399" spans="1:9" ht="14.25" customHeight="1">
      <c r="A399" s="4"/>
      <c r="B399" s="6"/>
      <c r="C399" s="6"/>
      <c r="D399" s="6"/>
      <c r="E399" s="6"/>
      <c r="F399" s="6"/>
      <c r="G399" s="6"/>
      <c r="H399" s="6"/>
      <c r="I399" s="9"/>
    </row>
    <row r="400" spans="1:9" ht="14.25" customHeight="1">
      <c r="A400" s="4"/>
      <c r="B400" s="6"/>
      <c r="C400" s="6"/>
      <c r="D400" s="6"/>
      <c r="E400" s="6"/>
      <c r="F400" s="6"/>
      <c r="G400" s="6"/>
      <c r="H400" s="6"/>
      <c r="I400" s="9"/>
    </row>
    <row r="401" spans="1:9" ht="14.25" customHeight="1">
      <c r="A401" s="4"/>
      <c r="B401" s="6"/>
      <c r="C401" s="6"/>
      <c r="D401" s="6"/>
      <c r="E401" s="6"/>
      <c r="F401" s="6"/>
      <c r="G401" s="6"/>
      <c r="H401" s="6"/>
      <c r="I401" s="9"/>
    </row>
    <row r="402" spans="1:9" ht="14.25" customHeight="1">
      <c r="A402" s="4"/>
      <c r="B402" s="6"/>
      <c r="C402" s="6"/>
      <c r="D402" s="6"/>
      <c r="E402" s="6"/>
      <c r="F402" s="6"/>
      <c r="G402" s="6"/>
      <c r="H402" s="6"/>
      <c r="I402" s="9"/>
    </row>
    <row r="403" spans="1:9" ht="14.25" customHeight="1">
      <c r="A403" s="4"/>
      <c r="B403" s="6"/>
      <c r="C403" s="6"/>
      <c r="D403" s="6"/>
      <c r="E403" s="6"/>
      <c r="F403" s="6"/>
      <c r="G403" s="6"/>
      <c r="H403" s="6"/>
      <c r="I403" s="9"/>
    </row>
    <row r="404" spans="1:9" ht="14.25" customHeight="1">
      <c r="A404" s="4"/>
      <c r="B404" s="6"/>
      <c r="C404" s="6"/>
      <c r="D404" s="6"/>
      <c r="E404" s="6"/>
      <c r="F404" s="6"/>
      <c r="G404" s="6"/>
      <c r="H404" s="6"/>
      <c r="I404" s="9"/>
    </row>
    <row r="405" spans="1:9" ht="14.25" customHeight="1">
      <c r="A405" s="4"/>
      <c r="B405" s="6"/>
      <c r="C405" s="6"/>
      <c r="D405" s="6"/>
      <c r="E405" s="6"/>
      <c r="F405" s="6"/>
      <c r="G405" s="6"/>
      <c r="H405" s="6"/>
      <c r="I405" s="9"/>
    </row>
    <row r="406" spans="1:9" ht="14.25" customHeight="1">
      <c r="A406" s="4"/>
      <c r="B406" s="6"/>
      <c r="C406" s="6"/>
      <c r="D406" s="6"/>
      <c r="E406" s="6"/>
      <c r="F406" s="6"/>
      <c r="G406" s="6"/>
      <c r="H406" s="6"/>
      <c r="I406" s="9"/>
    </row>
    <row r="407" spans="1:9" ht="14.25" customHeight="1">
      <c r="A407" s="4"/>
      <c r="B407" s="6"/>
      <c r="C407" s="6"/>
      <c r="D407" s="6"/>
      <c r="E407" s="6"/>
      <c r="F407" s="6"/>
      <c r="G407" s="6"/>
      <c r="H407" s="6"/>
      <c r="I407" s="9"/>
    </row>
    <row r="408" spans="1:9" ht="14.25" customHeight="1">
      <c r="A408" s="4"/>
      <c r="B408" s="6"/>
      <c r="C408" s="6"/>
      <c r="D408" s="6"/>
      <c r="E408" s="6"/>
      <c r="F408" s="6"/>
      <c r="G408" s="6"/>
      <c r="H408" s="6"/>
      <c r="I408" s="9"/>
    </row>
    <row r="409" spans="1:9" ht="14.25" customHeight="1">
      <c r="A409" s="4"/>
      <c r="B409" s="6"/>
      <c r="C409" s="6"/>
      <c r="D409" s="6"/>
      <c r="E409" s="6"/>
      <c r="F409" s="6"/>
      <c r="G409" s="6"/>
      <c r="H409" s="6"/>
      <c r="I409" s="9"/>
    </row>
    <row r="410" spans="1:9" ht="14.25" customHeight="1">
      <c r="A410" s="4"/>
      <c r="B410" s="6"/>
      <c r="C410" s="6"/>
      <c r="D410" s="6"/>
      <c r="E410" s="6"/>
      <c r="F410" s="6"/>
      <c r="G410" s="6"/>
      <c r="H410" s="6"/>
      <c r="I410" s="9"/>
    </row>
    <row r="411" spans="1:9" ht="14.25" customHeight="1">
      <c r="A411" s="4"/>
      <c r="B411" s="6"/>
      <c r="C411" s="6"/>
      <c r="D411" s="6"/>
      <c r="E411" s="6"/>
      <c r="F411" s="6"/>
      <c r="G411" s="6"/>
      <c r="H411" s="6"/>
      <c r="I411" s="9"/>
    </row>
    <row r="412" spans="1:9" ht="14.25" customHeight="1">
      <c r="A412" s="4"/>
      <c r="B412" s="6"/>
      <c r="C412" s="6"/>
      <c r="D412" s="6"/>
      <c r="E412" s="6"/>
      <c r="F412" s="6"/>
      <c r="G412" s="6"/>
      <c r="H412" s="6"/>
      <c r="I412" s="9"/>
    </row>
    <row r="413" spans="1:9" ht="14.25" customHeight="1">
      <c r="A413" s="4"/>
      <c r="B413" s="6"/>
      <c r="C413" s="6"/>
      <c r="D413" s="6"/>
      <c r="E413" s="6"/>
      <c r="F413" s="6"/>
      <c r="G413" s="6"/>
      <c r="H413" s="6"/>
      <c r="I413" s="9"/>
    </row>
    <row r="414" spans="1:9" ht="14.25" customHeight="1">
      <c r="A414" s="4"/>
      <c r="B414" s="6"/>
      <c r="C414" s="6"/>
      <c r="D414" s="6"/>
      <c r="E414" s="6"/>
      <c r="F414" s="6"/>
      <c r="G414" s="6"/>
      <c r="H414" s="6"/>
      <c r="I414" s="9"/>
    </row>
    <row r="415" spans="1:9" ht="14.25" customHeight="1">
      <c r="A415" s="4"/>
      <c r="B415" s="6"/>
      <c r="C415" s="6"/>
      <c r="D415" s="6"/>
      <c r="E415" s="6"/>
      <c r="F415" s="6"/>
      <c r="G415" s="6"/>
      <c r="H415" s="6"/>
      <c r="I415" s="9"/>
    </row>
    <row r="416" spans="1:9" ht="14.25" customHeight="1">
      <c r="A416" s="4"/>
      <c r="B416" s="6"/>
      <c r="C416" s="6"/>
      <c r="D416" s="6"/>
      <c r="E416" s="6"/>
      <c r="F416" s="6"/>
      <c r="G416" s="6"/>
      <c r="H416" s="6"/>
      <c r="I416" s="9"/>
    </row>
    <row r="417" spans="1:9" ht="14.25" customHeight="1">
      <c r="A417" s="4"/>
      <c r="B417" s="6"/>
      <c r="C417" s="6"/>
      <c r="D417" s="6"/>
      <c r="E417" s="6"/>
      <c r="F417" s="6"/>
      <c r="G417" s="6"/>
      <c r="H417" s="6"/>
      <c r="I417" s="9"/>
    </row>
    <row r="418" spans="1:9" ht="14.25" customHeight="1">
      <c r="A418" s="4"/>
      <c r="B418" s="6"/>
      <c r="C418" s="6"/>
      <c r="D418" s="6"/>
      <c r="E418" s="6"/>
      <c r="F418" s="6"/>
      <c r="G418" s="6"/>
      <c r="H418" s="6"/>
      <c r="I418" s="9"/>
    </row>
    <row r="419" spans="1:9" ht="14.25" customHeight="1">
      <c r="A419" s="4"/>
      <c r="B419" s="6"/>
      <c r="C419" s="6"/>
      <c r="D419" s="6"/>
      <c r="E419" s="6"/>
      <c r="F419" s="6"/>
      <c r="G419" s="6"/>
      <c r="H419" s="6"/>
      <c r="I419" s="9"/>
    </row>
    <row r="420" spans="1:9" ht="14.25" customHeight="1">
      <c r="A420" s="4"/>
      <c r="B420" s="6"/>
      <c r="C420" s="6"/>
      <c r="D420" s="6"/>
      <c r="E420" s="6"/>
      <c r="F420" s="6"/>
      <c r="G420" s="6"/>
      <c r="H420" s="6"/>
      <c r="I420" s="9"/>
    </row>
    <row r="421" spans="1:9" ht="14.25" customHeight="1">
      <c r="A421" s="4"/>
      <c r="B421" s="6"/>
      <c r="C421" s="6"/>
      <c r="D421" s="6"/>
      <c r="E421" s="6"/>
      <c r="F421" s="6"/>
      <c r="G421" s="6"/>
      <c r="H421" s="6"/>
      <c r="I421" s="9"/>
    </row>
    <row r="422" spans="1:9" ht="14.25" customHeight="1">
      <c r="A422" s="4"/>
      <c r="B422" s="6"/>
      <c r="C422" s="6"/>
      <c r="D422" s="6"/>
      <c r="E422" s="6"/>
      <c r="F422" s="6"/>
      <c r="G422" s="6"/>
      <c r="H422" s="6"/>
      <c r="I422" s="9"/>
    </row>
    <row r="423" spans="1:9" ht="14.25" customHeight="1">
      <c r="A423" s="4"/>
      <c r="B423" s="6"/>
      <c r="C423" s="6"/>
      <c r="D423" s="6"/>
      <c r="E423" s="6"/>
      <c r="F423" s="6"/>
      <c r="G423" s="6"/>
      <c r="H423" s="6"/>
      <c r="I423" s="9"/>
    </row>
    <row r="424" spans="1:9" ht="14.25" customHeight="1">
      <c r="A424" s="4"/>
      <c r="B424" s="6"/>
      <c r="C424" s="6"/>
      <c r="D424" s="6"/>
      <c r="E424" s="6"/>
      <c r="F424" s="6"/>
      <c r="G424" s="6"/>
      <c r="H424" s="6"/>
      <c r="I424" s="9"/>
    </row>
    <row r="425" spans="1:9" ht="14.25" customHeight="1">
      <c r="A425" s="4"/>
      <c r="B425" s="6"/>
      <c r="C425" s="6"/>
      <c r="D425" s="6"/>
      <c r="E425" s="6"/>
      <c r="F425" s="6"/>
      <c r="G425" s="6"/>
      <c r="H425" s="6"/>
      <c r="I425" s="9"/>
    </row>
    <row r="426" spans="1:9" ht="14.25" customHeight="1">
      <c r="A426" s="4"/>
      <c r="B426" s="6"/>
      <c r="C426" s="6"/>
      <c r="D426" s="6"/>
      <c r="E426" s="6"/>
      <c r="F426" s="6"/>
      <c r="G426" s="6"/>
      <c r="H426" s="6"/>
      <c r="I426" s="9"/>
    </row>
    <row r="427" spans="1:9" ht="14.25" customHeight="1">
      <c r="A427" s="4"/>
      <c r="B427" s="6"/>
      <c r="C427" s="6"/>
      <c r="D427" s="6"/>
      <c r="E427" s="6"/>
      <c r="F427" s="6"/>
      <c r="G427" s="6"/>
      <c r="H427" s="6"/>
      <c r="I427" s="9"/>
    </row>
    <row r="428" spans="1:9" ht="14.25" customHeight="1">
      <c r="A428" s="4"/>
      <c r="B428" s="6"/>
      <c r="C428" s="6"/>
      <c r="D428" s="6"/>
      <c r="E428" s="6"/>
      <c r="F428" s="6"/>
      <c r="G428" s="6"/>
      <c r="H428" s="6"/>
      <c r="I428" s="9"/>
    </row>
    <row r="429" spans="1:9" ht="14.25" customHeight="1">
      <c r="A429" s="4"/>
      <c r="B429" s="6"/>
      <c r="C429" s="6"/>
      <c r="D429" s="6"/>
      <c r="E429" s="6"/>
      <c r="F429" s="6"/>
      <c r="G429" s="6"/>
      <c r="H429" s="6"/>
      <c r="I429" s="9"/>
    </row>
    <row r="430" spans="1:9" ht="14.25" customHeight="1">
      <c r="A430" s="4"/>
      <c r="B430" s="6"/>
      <c r="C430" s="6"/>
      <c r="D430" s="6"/>
      <c r="E430" s="6"/>
      <c r="F430" s="6"/>
      <c r="G430" s="6"/>
      <c r="H430" s="6"/>
      <c r="I430" s="9"/>
    </row>
    <row r="431" spans="1:9" ht="14.25" customHeight="1">
      <c r="A431" s="4"/>
      <c r="B431" s="6"/>
      <c r="C431" s="6"/>
      <c r="D431" s="6"/>
      <c r="E431" s="6"/>
      <c r="F431" s="6"/>
      <c r="G431" s="6"/>
      <c r="H431" s="6"/>
      <c r="I431" s="9"/>
    </row>
    <row r="432" spans="1:9" ht="14.25" customHeight="1">
      <c r="A432" s="4"/>
      <c r="B432" s="6"/>
      <c r="C432" s="6"/>
      <c r="D432" s="6"/>
      <c r="E432" s="6"/>
      <c r="F432" s="6"/>
      <c r="G432" s="6"/>
      <c r="H432" s="6"/>
      <c r="I432" s="9"/>
    </row>
    <row r="433" spans="1:9" ht="14.25" customHeight="1">
      <c r="A433" s="4"/>
      <c r="B433" s="6"/>
      <c r="C433" s="6"/>
      <c r="D433" s="6"/>
      <c r="E433" s="6"/>
      <c r="F433" s="6"/>
      <c r="G433" s="6"/>
      <c r="H433" s="6"/>
      <c r="I433" s="9"/>
    </row>
    <row r="434" spans="1:9" ht="14.25" customHeight="1">
      <c r="A434" s="4"/>
      <c r="B434" s="6"/>
      <c r="C434" s="6"/>
      <c r="D434" s="6"/>
      <c r="E434" s="6"/>
      <c r="F434" s="6"/>
      <c r="G434" s="6"/>
      <c r="H434" s="6"/>
      <c r="I434" s="9"/>
    </row>
    <row r="435" spans="1:9" ht="14.25" customHeight="1">
      <c r="A435" s="4"/>
      <c r="B435" s="6"/>
      <c r="C435" s="6"/>
      <c r="D435" s="6"/>
      <c r="E435" s="6"/>
      <c r="F435" s="6"/>
      <c r="G435" s="6"/>
      <c r="H435" s="6"/>
      <c r="I435" s="9"/>
    </row>
    <row r="436" spans="1:9" ht="14.25" customHeight="1">
      <c r="A436" s="4"/>
      <c r="B436" s="6"/>
      <c r="C436" s="6"/>
      <c r="D436" s="6"/>
      <c r="E436" s="6"/>
      <c r="F436" s="6"/>
      <c r="G436" s="6"/>
      <c r="H436" s="6"/>
      <c r="I436" s="9"/>
    </row>
    <row r="437" spans="1:9" ht="14.25" customHeight="1">
      <c r="A437" s="4"/>
      <c r="B437" s="6"/>
      <c r="C437" s="6"/>
      <c r="D437" s="6"/>
      <c r="E437" s="6"/>
      <c r="F437" s="6"/>
      <c r="G437" s="6"/>
      <c r="H437" s="6"/>
      <c r="I437" s="9"/>
    </row>
    <row r="438" spans="1:9" ht="14.25" customHeight="1">
      <c r="A438" s="4"/>
      <c r="B438" s="6"/>
      <c r="C438" s="6"/>
      <c r="D438" s="6"/>
      <c r="E438" s="6"/>
      <c r="F438" s="6"/>
      <c r="G438" s="6"/>
      <c r="H438" s="6"/>
      <c r="I438" s="9"/>
    </row>
    <row r="439" spans="1:9" ht="14.25" customHeight="1">
      <c r="A439" s="4"/>
      <c r="B439" s="6"/>
      <c r="C439" s="6"/>
      <c r="D439" s="6"/>
      <c r="E439" s="6"/>
      <c r="F439" s="6"/>
      <c r="G439" s="6"/>
      <c r="H439" s="6"/>
      <c r="I439" s="9"/>
    </row>
    <row r="440" spans="1:9" ht="14.25" customHeight="1">
      <c r="A440" s="4"/>
      <c r="B440" s="6"/>
      <c r="C440" s="6"/>
      <c r="D440" s="6"/>
      <c r="E440" s="6"/>
      <c r="F440" s="6"/>
      <c r="G440" s="6"/>
      <c r="H440" s="6"/>
      <c r="I440" s="9"/>
    </row>
    <row r="441" spans="1:9" ht="14.25" customHeight="1">
      <c r="A441" s="4"/>
      <c r="B441" s="6"/>
      <c r="C441" s="6"/>
      <c r="D441" s="6"/>
      <c r="E441" s="6"/>
      <c r="F441" s="6"/>
      <c r="G441" s="6"/>
      <c r="H441" s="6"/>
      <c r="I441" s="9"/>
    </row>
    <row r="442" spans="1:9" ht="14.25" customHeight="1">
      <c r="A442" s="4"/>
      <c r="B442" s="6"/>
      <c r="C442" s="6"/>
      <c r="D442" s="6"/>
      <c r="E442" s="6"/>
      <c r="F442" s="6"/>
      <c r="G442" s="6"/>
      <c r="H442" s="6"/>
      <c r="I442" s="9"/>
    </row>
    <row r="443" spans="1:9" ht="14.25" customHeight="1">
      <c r="A443" s="4"/>
      <c r="B443" s="6"/>
      <c r="C443" s="6"/>
      <c r="D443" s="6"/>
      <c r="E443" s="6"/>
      <c r="F443" s="6"/>
      <c r="G443" s="6"/>
      <c r="H443" s="6"/>
      <c r="I443" s="9"/>
    </row>
    <row r="444" spans="1:9" ht="14.25" customHeight="1">
      <c r="A444" s="4"/>
      <c r="B444" s="6"/>
      <c r="C444" s="6"/>
      <c r="D444" s="6"/>
      <c r="E444" s="6"/>
      <c r="F444" s="6"/>
      <c r="G444" s="6"/>
      <c r="H444" s="6"/>
      <c r="I444" s="9"/>
    </row>
    <row r="445" spans="1:9" ht="14.25" customHeight="1">
      <c r="A445" s="4"/>
      <c r="B445" s="6"/>
      <c r="C445" s="6"/>
      <c r="D445" s="6"/>
      <c r="E445" s="6"/>
      <c r="F445" s="6"/>
      <c r="G445" s="6"/>
      <c r="H445" s="6"/>
      <c r="I445" s="9"/>
    </row>
    <row r="446" spans="1:9" ht="14.25" customHeight="1">
      <c r="A446" s="4"/>
      <c r="B446" s="6"/>
      <c r="C446" s="6"/>
      <c r="D446" s="6"/>
      <c r="E446" s="6"/>
      <c r="F446" s="6"/>
      <c r="G446" s="6"/>
      <c r="H446" s="6"/>
      <c r="I446" s="9"/>
    </row>
    <row r="447" spans="1:9" ht="14.25" customHeight="1">
      <c r="A447" s="4"/>
      <c r="B447" s="6"/>
      <c r="C447" s="6"/>
      <c r="D447" s="6"/>
      <c r="E447" s="6"/>
      <c r="F447" s="6"/>
      <c r="G447" s="6"/>
      <c r="H447" s="6"/>
      <c r="I447" s="9"/>
    </row>
    <row r="448" spans="1:9" ht="14.25" customHeight="1">
      <c r="A448" s="4"/>
      <c r="B448" s="6"/>
      <c r="C448" s="6"/>
      <c r="D448" s="6"/>
      <c r="E448" s="6"/>
      <c r="F448" s="6"/>
      <c r="G448" s="6"/>
      <c r="H448" s="6"/>
      <c r="I448" s="9"/>
    </row>
    <row r="449" spans="1:9" ht="14.25" customHeight="1">
      <c r="A449" s="4"/>
      <c r="B449" s="6"/>
      <c r="C449" s="6"/>
      <c r="D449" s="6"/>
      <c r="E449" s="6"/>
      <c r="F449" s="6"/>
      <c r="G449" s="6"/>
      <c r="H449" s="6"/>
      <c r="I449" s="9"/>
    </row>
    <row r="450" spans="1:9" ht="14.25" customHeight="1">
      <c r="A450" s="4"/>
      <c r="B450" s="6"/>
      <c r="C450" s="6"/>
      <c r="D450" s="6"/>
      <c r="E450" s="6"/>
      <c r="F450" s="6"/>
      <c r="G450" s="6"/>
      <c r="H450" s="6"/>
      <c r="I450" s="9"/>
    </row>
    <row r="451" spans="1:9" ht="14.25" customHeight="1">
      <c r="A451" s="4"/>
      <c r="B451" s="6"/>
      <c r="C451" s="6"/>
      <c r="D451" s="6"/>
      <c r="E451" s="6"/>
      <c r="F451" s="6"/>
      <c r="G451" s="6"/>
      <c r="H451" s="6"/>
      <c r="I451" s="9"/>
    </row>
    <row r="452" spans="1:9" ht="14.25" customHeight="1">
      <c r="A452" s="4"/>
      <c r="B452" s="6"/>
      <c r="C452" s="6"/>
      <c r="D452" s="6"/>
      <c r="E452" s="6"/>
      <c r="F452" s="6"/>
      <c r="G452" s="6"/>
      <c r="H452" s="6"/>
      <c r="I452" s="9"/>
    </row>
    <row r="453" spans="1:9" ht="14.25" customHeight="1">
      <c r="A453" s="4"/>
      <c r="B453" s="6"/>
      <c r="C453" s="6"/>
      <c r="D453" s="6"/>
      <c r="E453" s="6"/>
      <c r="F453" s="6"/>
      <c r="G453" s="6"/>
      <c r="H453" s="6"/>
      <c r="I453" s="9"/>
    </row>
    <row r="454" spans="1:9" ht="14.25" customHeight="1">
      <c r="A454" s="4"/>
      <c r="B454" s="6"/>
      <c r="C454" s="6"/>
      <c r="D454" s="6"/>
      <c r="E454" s="6"/>
      <c r="F454" s="6"/>
      <c r="G454" s="6"/>
      <c r="H454" s="6"/>
      <c r="I454" s="9"/>
    </row>
    <row r="455" spans="1:9" ht="14.25" customHeight="1">
      <c r="A455" s="4"/>
      <c r="B455" s="6"/>
      <c r="C455" s="6"/>
      <c r="D455" s="6"/>
      <c r="E455" s="6"/>
      <c r="F455" s="6"/>
      <c r="G455" s="6"/>
      <c r="H455" s="6"/>
      <c r="I455" s="9"/>
    </row>
    <row r="456" spans="1:9" ht="14.25" customHeight="1">
      <c r="A456" s="4"/>
      <c r="B456" s="6"/>
      <c r="C456" s="6"/>
      <c r="D456" s="6"/>
      <c r="E456" s="6"/>
      <c r="F456" s="6"/>
      <c r="G456" s="6"/>
      <c r="H456" s="6"/>
      <c r="I456" s="9"/>
    </row>
    <row r="457" spans="1:9" ht="14.25" customHeight="1">
      <c r="A457" s="4"/>
      <c r="B457" s="6"/>
      <c r="C457" s="6"/>
      <c r="D457" s="6"/>
      <c r="E457" s="6"/>
      <c r="F457" s="6"/>
      <c r="G457" s="6"/>
      <c r="H457" s="6"/>
      <c r="I457" s="9"/>
    </row>
    <row r="458" spans="1:9" ht="14.25" customHeight="1">
      <c r="A458" s="4"/>
      <c r="B458" s="6"/>
      <c r="C458" s="6"/>
      <c r="D458" s="6"/>
      <c r="E458" s="6"/>
      <c r="F458" s="6"/>
      <c r="G458" s="6"/>
      <c r="H458" s="6"/>
      <c r="I458" s="9"/>
    </row>
    <row r="459" spans="1:9" ht="14.25" customHeight="1">
      <c r="A459" s="4"/>
      <c r="B459" s="6"/>
      <c r="C459" s="6"/>
      <c r="D459" s="6"/>
      <c r="E459" s="6"/>
      <c r="F459" s="6"/>
      <c r="G459" s="6"/>
      <c r="H459" s="6"/>
      <c r="I459" s="9"/>
    </row>
    <row r="460" spans="1:9" ht="14.25" customHeight="1">
      <c r="A460" s="4"/>
      <c r="B460" s="6"/>
      <c r="C460" s="6"/>
      <c r="D460" s="6"/>
      <c r="E460" s="6"/>
      <c r="F460" s="6"/>
      <c r="G460" s="6"/>
      <c r="H460" s="6"/>
      <c r="I460" s="9"/>
    </row>
    <row r="461" spans="1:9" ht="14.25" customHeight="1">
      <c r="A461" s="4"/>
      <c r="B461" s="6"/>
      <c r="C461" s="6"/>
      <c r="D461" s="6"/>
      <c r="E461" s="6"/>
      <c r="F461" s="6"/>
      <c r="G461" s="6"/>
      <c r="H461" s="6"/>
      <c r="I461" s="9"/>
    </row>
    <row r="462" spans="1:9" ht="14.25" customHeight="1">
      <c r="A462" s="4"/>
      <c r="B462" s="6"/>
      <c r="C462" s="6"/>
      <c r="D462" s="6"/>
      <c r="E462" s="6"/>
      <c r="F462" s="6"/>
      <c r="G462" s="6"/>
      <c r="H462" s="6"/>
      <c r="I462" s="9"/>
    </row>
    <row r="463" spans="1:9" ht="14.25" customHeight="1">
      <c r="A463" s="4"/>
      <c r="B463" s="6"/>
      <c r="C463" s="6"/>
      <c r="D463" s="6"/>
      <c r="E463" s="6"/>
      <c r="F463" s="6"/>
      <c r="G463" s="6"/>
      <c r="H463" s="6"/>
      <c r="I463" s="9"/>
    </row>
    <row r="464" spans="1:9" ht="14.25" customHeight="1">
      <c r="A464" s="4"/>
      <c r="B464" s="6"/>
      <c r="C464" s="6"/>
      <c r="D464" s="6"/>
      <c r="E464" s="6"/>
      <c r="F464" s="6"/>
      <c r="G464" s="6"/>
      <c r="H464" s="6"/>
      <c r="I464" s="9"/>
    </row>
    <row r="465" spans="1:9" ht="14.25" customHeight="1">
      <c r="A465" s="4"/>
      <c r="B465" s="6"/>
      <c r="C465" s="6"/>
      <c r="D465" s="6"/>
      <c r="E465" s="6"/>
      <c r="F465" s="6"/>
      <c r="G465" s="6"/>
      <c r="H465" s="6"/>
      <c r="I465" s="9"/>
    </row>
    <row r="466" spans="1:9" ht="14.25" customHeight="1">
      <c r="A466" s="4"/>
      <c r="B466" s="6"/>
      <c r="C466" s="6"/>
      <c r="D466" s="6"/>
      <c r="E466" s="6"/>
      <c r="F466" s="6"/>
      <c r="G466" s="6"/>
      <c r="H466" s="6"/>
      <c r="I466" s="9"/>
    </row>
    <row r="467" spans="1:9" ht="14.25" customHeight="1">
      <c r="A467" s="4"/>
      <c r="B467" s="6"/>
      <c r="C467" s="6"/>
      <c r="D467" s="6"/>
      <c r="E467" s="6"/>
      <c r="F467" s="6"/>
      <c r="G467" s="6"/>
      <c r="H467" s="6"/>
      <c r="I467" s="9"/>
    </row>
    <row r="468" spans="1:9" ht="14.25" customHeight="1">
      <c r="A468" s="4"/>
      <c r="B468" s="6"/>
      <c r="C468" s="6"/>
      <c r="D468" s="6"/>
      <c r="E468" s="6"/>
      <c r="F468" s="6"/>
      <c r="G468" s="6"/>
      <c r="H468" s="6"/>
      <c r="I468" s="9"/>
    </row>
    <row r="469" spans="1:9" ht="14.25" customHeight="1">
      <c r="A469" s="4"/>
      <c r="B469" s="6"/>
      <c r="C469" s="6"/>
      <c r="D469" s="6"/>
      <c r="E469" s="6"/>
      <c r="F469" s="6"/>
      <c r="G469" s="6"/>
      <c r="H469" s="6"/>
      <c r="I469" s="9"/>
    </row>
    <row r="470" spans="1:9" ht="14.25" customHeight="1">
      <c r="A470" s="4"/>
      <c r="B470" s="6"/>
      <c r="C470" s="6"/>
      <c r="D470" s="6"/>
      <c r="E470" s="6"/>
      <c r="F470" s="6"/>
      <c r="G470" s="6"/>
      <c r="H470" s="6"/>
      <c r="I470" s="9"/>
    </row>
    <row r="471" spans="1:9" ht="14.25" customHeight="1">
      <c r="A471" s="4"/>
      <c r="B471" s="6"/>
      <c r="C471" s="6"/>
      <c r="D471" s="6"/>
      <c r="E471" s="6"/>
      <c r="F471" s="6"/>
      <c r="G471" s="6"/>
      <c r="H471" s="6"/>
      <c r="I471" s="9"/>
    </row>
    <row r="472" spans="1:9" ht="14.25" customHeight="1">
      <c r="A472" s="4"/>
      <c r="B472" s="6"/>
      <c r="C472" s="6"/>
      <c r="D472" s="6"/>
      <c r="E472" s="6"/>
      <c r="F472" s="6"/>
      <c r="G472" s="6"/>
      <c r="H472" s="6"/>
      <c r="I472" s="9"/>
    </row>
    <row r="473" spans="1:9" ht="14.25" customHeight="1">
      <c r="A473" s="4"/>
      <c r="B473" s="6"/>
      <c r="C473" s="6"/>
      <c r="D473" s="6"/>
      <c r="E473" s="6"/>
      <c r="F473" s="6"/>
      <c r="G473" s="6"/>
      <c r="H473" s="6"/>
      <c r="I473" s="9"/>
    </row>
    <row r="474" spans="1:9" ht="14.25" customHeight="1">
      <c r="A474" s="4"/>
      <c r="B474" s="6"/>
      <c r="C474" s="6"/>
      <c r="D474" s="6"/>
      <c r="E474" s="6"/>
      <c r="F474" s="6"/>
      <c r="G474" s="6"/>
      <c r="H474" s="6"/>
      <c r="I474" s="9"/>
    </row>
    <row r="475" spans="1:9" ht="14.25" customHeight="1">
      <c r="A475" s="4"/>
      <c r="B475" s="6"/>
      <c r="C475" s="6"/>
      <c r="D475" s="6"/>
      <c r="E475" s="6"/>
      <c r="F475" s="6"/>
      <c r="G475" s="6"/>
      <c r="H475" s="6"/>
      <c r="I475" s="9"/>
    </row>
    <row r="476" spans="1:9" ht="14.25" customHeight="1">
      <c r="A476" s="4"/>
      <c r="B476" s="6"/>
      <c r="C476" s="6"/>
      <c r="D476" s="6"/>
      <c r="E476" s="6"/>
      <c r="F476" s="6"/>
      <c r="G476" s="6"/>
      <c r="H476" s="6"/>
      <c r="I476" s="9"/>
    </row>
    <row r="477" spans="1:9" ht="14.25" customHeight="1">
      <c r="A477" s="4"/>
      <c r="B477" s="6"/>
      <c r="C477" s="6"/>
      <c r="D477" s="6"/>
      <c r="E477" s="6"/>
      <c r="F477" s="6"/>
      <c r="G477" s="6"/>
      <c r="H477" s="6"/>
      <c r="I477" s="9"/>
    </row>
    <row r="478" spans="1:9" ht="14.25" customHeight="1">
      <c r="A478" s="4"/>
      <c r="B478" s="6"/>
      <c r="C478" s="6"/>
      <c r="D478" s="6"/>
      <c r="E478" s="6"/>
      <c r="F478" s="6"/>
      <c r="G478" s="6"/>
      <c r="H478" s="6"/>
      <c r="I478" s="9"/>
    </row>
    <row r="479" spans="1:9" ht="14.25" customHeight="1">
      <c r="A479" s="4"/>
      <c r="B479" s="6"/>
      <c r="C479" s="6"/>
      <c r="D479" s="6"/>
      <c r="E479" s="6"/>
      <c r="F479" s="6"/>
      <c r="G479" s="6"/>
      <c r="H479" s="6"/>
      <c r="I479" s="9"/>
    </row>
    <row r="480" spans="1:9" ht="14.25" customHeight="1">
      <c r="A480" s="4"/>
      <c r="B480" s="6"/>
      <c r="C480" s="6"/>
      <c r="D480" s="6"/>
      <c r="E480" s="6"/>
      <c r="F480" s="6"/>
      <c r="G480" s="6"/>
      <c r="H480" s="6"/>
      <c r="I480" s="9"/>
    </row>
    <row r="481" spans="1:9" ht="14.25" customHeight="1">
      <c r="A481" s="4"/>
      <c r="B481" s="6"/>
      <c r="C481" s="6"/>
      <c r="D481" s="6"/>
      <c r="E481" s="6"/>
      <c r="F481" s="6"/>
      <c r="G481" s="6"/>
      <c r="H481" s="6"/>
      <c r="I481" s="9"/>
    </row>
    <row r="482" spans="1:9" ht="14.25" customHeight="1">
      <c r="A482" s="4"/>
      <c r="B482" s="6"/>
      <c r="C482" s="6"/>
      <c r="D482" s="6"/>
      <c r="E482" s="6"/>
      <c r="F482" s="6"/>
      <c r="G482" s="6"/>
      <c r="H482" s="6"/>
      <c r="I482" s="9"/>
    </row>
    <row r="483" spans="1:9" ht="14.25" customHeight="1">
      <c r="A483" s="4"/>
      <c r="B483" s="6"/>
      <c r="C483" s="6"/>
      <c r="D483" s="6"/>
      <c r="E483" s="6"/>
      <c r="F483" s="6"/>
      <c r="G483" s="6"/>
      <c r="H483" s="6"/>
      <c r="I483" s="9"/>
    </row>
    <row r="484" spans="1:9" ht="14.25" customHeight="1">
      <c r="A484" s="4"/>
      <c r="B484" s="6"/>
      <c r="C484" s="6"/>
      <c r="D484" s="6"/>
      <c r="E484" s="6"/>
      <c r="F484" s="6"/>
      <c r="G484" s="6"/>
      <c r="H484" s="6"/>
      <c r="I484" s="9"/>
    </row>
    <row r="485" spans="1:9" ht="14.25" customHeight="1">
      <c r="A485" s="4"/>
      <c r="B485" s="6"/>
      <c r="C485" s="6"/>
      <c r="D485" s="6"/>
      <c r="E485" s="6"/>
      <c r="F485" s="6"/>
      <c r="G485" s="6"/>
      <c r="H485" s="6"/>
      <c r="I485" s="9"/>
    </row>
    <row r="486" spans="1:9" ht="14.25" customHeight="1">
      <c r="A486" s="4"/>
      <c r="B486" s="6"/>
      <c r="C486" s="6"/>
      <c r="D486" s="6"/>
      <c r="E486" s="6"/>
      <c r="F486" s="6"/>
      <c r="G486" s="6"/>
      <c r="H486" s="6"/>
      <c r="I486" s="9"/>
    </row>
    <row r="487" spans="1:9" ht="14.25" customHeight="1">
      <c r="A487" s="4"/>
      <c r="B487" s="6"/>
      <c r="C487" s="6"/>
      <c r="D487" s="6"/>
      <c r="E487" s="6"/>
      <c r="F487" s="6"/>
      <c r="G487" s="6"/>
      <c r="H487" s="6"/>
      <c r="I487" s="9"/>
    </row>
    <row r="488" spans="1:9" ht="14.25" customHeight="1">
      <c r="A488" s="4"/>
      <c r="B488" s="6"/>
      <c r="C488" s="6"/>
      <c r="D488" s="6"/>
      <c r="E488" s="6"/>
      <c r="F488" s="6"/>
      <c r="G488" s="6"/>
      <c r="H488" s="6"/>
      <c r="I488" s="9"/>
    </row>
    <row r="489" spans="1:9" ht="14.25" customHeight="1">
      <c r="A489" s="4"/>
      <c r="B489" s="6"/>
      <c r="C489" s="6"/>
      <c r="D489" s="6"/>
      <c r="E489" s="6"/>
      <c r="F489" s="6"/>
      <c r="G489" s="6"/>
      <c r="H489" s="6"/>
      <c r="I489" s="9"/>
    </row>
    <row r="490" spans="1:9" ht="14.25" customHeight="1">
      <c r="A490" s="4"/>
      <c r="B490" s="6"/>
      <c r="C490" s="6"/>
      <c r="D490" s="6"/>
      <c r="E490" s="6"/>
      <c r="F490" s="6"/>
      <c r="G490" s="6"/>
      <c r="H490" s="6"/>
      <c r="I490" s="9"/>
    </row>
    <row r="491" spans="1:9" ht="14.25" customHeight="1">
      <c r="A491" s="4"/>
      <c r="B491" s="6"/>
      <c r="C491" s="6"/>
      <c r="D491" s="6"/>
      <c r="E491" s="6"/>
      <c r="F491" s="6"/>
      <c r="G491" s="6"/>
      <c r="H491" s="6"/>
      <c r="I491" s="9"/>
    </row>
    <row r="492" spans="1:9" ht="14.25" customHeight="1">
      <c r="A492" s="4"/>
      <c r="B492" s="6"/>
      <c r="C492" s="6"/>
      <c r="D492" s="6"/>
      <c r="E492" s="6"/>
      <c r="F492" s="6"/>
      <c r="G492" s="6"/>
      <c r="H492" s="6"/>
      <c r="I492" s="9"/>
    </row>
    <row r="493" spans="1:9" ht="14.25" customHeight="1">
      <c r="A493" s="4"/>
      <c r="B493" s="6"/>
      <c r="C493" s="6"/>
      <c r="D493" s="6"/>
      <c r="E493" s="6"/>
      <c r="F493" s="6"/>
      <c r="G493" s="6"/>
      <c r="H493" s="6"/>
      <c r="I493" s="9"/>
    </row>
    <row r="494" spans="1:9" ht="14.25" customHeight="1">
      <c r="A494" s="4"/>
      <c r="B494" s="6"/>
      <c r="C494" s="6"/>
      <c r="D494" s="6"/>
      <c r="E494" s="6"/>
      <c r="F494" s="6"/>
      <c r="G494" s="6"/>
      <c r="H494" s="6"/>
      <c r="I494" s="9"/>
    </row>
    <row r="495" spans="1:9" ht="14.25" customHeight="1">
      <c r="A495" s="4"/>
      <c r="B495" s="6"/>
      <c r="C495" s="6"/>
      <c r="D495" s="6"/>
      <c r="E495" s="6"/>
      <c r="F495" s="6"/>
      <c r="G495" s="6"/>
      <c r="H495" s="6"/>
      <c r="I495" s="9"/>
    </row>
    <row r="496" spans="1:9" ht="14.25" customHeight="1">
      <c r="A496" s="4"/>
      <c r="B496" s="6"/>
      <c r="C496" s="6"/>
      <c r="D496" s="6"/>
      <c r="E496" s="6"/>
      <c r="F496" s="6"/>
      <c r="G496" s="6"/>
      <c r="H496" s="6"/>
      <c r="I496" s="9"/>
    </row>
    <row r="497" spans="1:9" ht="14.25" customHeight="1">
      <c r="A497" s="4"/>
      <c r="B497" s="6"/>
      <c r="C497" s="6"/>
      <c r="D497" s="6"/>
      <c r="E497" s="6"/>
      <c r="F497" s="6"/>
      <c r="G497" s="6"/>
      <c r="H497" s="6"/>
      <c r="I497" s="9"/>
    </row>
    <row r="498" spans="1:9" ht="14.25" customHeight="1">
      <c r="A498" s="4"/>
      <c r="B498" s="6"/>
      <c r="C498" s="6"/>
      <c r="D498" s="6"/>
      <c r="E498" s="6"/>
      <c r="F498" s="6"/>
      <c r="G498" s="6"/>
      <c r="H498" s="6"/>
      <c r="I498" s="9"/>
    </row>
    <row r="499" spans="1:9" ht="14.25" customHeight="1">
      <c r="A499" s="4"/>
      <c r="B499" s="6"/>
      <c r="C499" s="6"/>
      <c r="D499" s="6"/>
      <c r="E499" s="6"/>
      <c r="F499" s="6"/>
      <c r="G499" s="6"/>
      <c r="H499" s="6"/>
      <c r="I499" s="9"/>
    </row>
    <row r="500" spans="1:9" ht="14.25" customHeight="1">
      <c r="A500" s="4"/>
      <c r="B500" s="6"/>
      <c r="C500" s="6"/>
      <c r="D500" s="6"/>
      <c r="E500" s="6"/>
      <c r="F500" s="6"/>
      <c r="G500" s="6"/>
      <c r="H500" s="6"/>
      <c r="I500" s="9"/>
    </row>
    <row r="501" spans="1:9" ht="14.25" customHeight="1">
      <c r="A501" s="4"/>
      <c r="B501" s="6"/>
      <c r="C501" s="6"/>
      <c r="D501" s="6"/>
      <c r="E501" s="6"/>
      <c r="F501" s="6"/>
      <c r="G501" s="6"/>
      <c r="H501" s="6"/>
      <c r="I501" s="9"/>
    </row>
    <row r="502" spans="1:9" ht="14.25" customHeight="1">
      <c r="A502" s="4"/>
      <c r="B502" s="6"/>
      <c r="C502" s="6"/>
      <c r="D502" s="6"/>
      <c r="E502" s="6"/>
      <c r="F502" s="6"/>
      <c r="G502" s="6"/>
      <c r="H502" s="6"/>
      <c r="I502" s="9"/>
    </row>
    <row r="503" spans="1:9" ht="14.25" customHeight="1">
      <c r="A503" s="4"/>
      <c r="B503" s="6"/>
      <c r="C503" s="6"/>
      <c r="D503" s="6"/>
      <c r="E503" s="6"/>
      <c r="F503" s="6"/>
      <c r="G503" s="6"/>
      <c r="H503" s="6"/>
      <c r="I503" s="9"/>
    </row>
    <row r="504" spans="1:9" ht="14.25" customHeight="1">
      <c r="A504" s="4"/>
      <c r="B504" s="6"/>
      <c r="C504" s="6"/>
      <c r="D504" s="6"/>
      <c r="E504" s="6"/>
      <c r="F504" s="6"/>
      <c r="G504" s="6"/>
      <c r="H504" s="6"/>
      <c r="I504" s="9"/>
    </row>
    <row r="505" spans="1:9" ht="14.25" customHeight="1">
      <c r="A505" s="4"/>
      <c r="B505" s="6"/>
      <c r="C505" s="6"/>
      <c r="D505" s="6"/>
      <c r="E505" s="6"/>
      <c r="F505" s="6"/>
      <c r="G505" s="6"/>
      <c r="H505" s="6"/>
      <c r="I505" s="9"/>
    </row>
    <row r="506" spans="1:9" ht="14.25" customHeight="1">
      <c r="A506" s="4"/>
      <c r="B506" s="6"/>
      <c r="C506" s="6"/>
      <c r="D506" s="6"/>
      <c r="E506" s="6"/>
      <c r="F506" s="6"/>
      <c r="G506" s="6"/>
      <c r="H506" s="6"/>
      <c r="I506" s="9"/>
    </row>
    <row r="507" spans="1:9" ht="14.25" customHeight="1">
      <c r="A507" s="4"/>
      <c r="B507" s="6"/>
      <c r="C507" s="6"/>
      <c r="D507" s="6"/>
      <c r="E507" s="6"/>
      <c r="F507" s="6"/>
      <c r="G507" s="6"/>
      <c r="H507" s="6"/>
      <c r="I507" s="9"/>
    </row>
    <row r="508" spans="1:9" ht="14.25" customHeight="1">
      <c r="A508" s="4"/>
      <c r="B508" s="6"/>
      <c r="C508" s="6"/>
      <c r="D508" s="6"/>
      <c r="E508" s="6"/>
      <c r="F508" s="6"/>
      <c r="G508" s="6"/>
      <c r="H508" s="6"/>
      <c r="I508" s="9"/>
    </row>
    <row r="509" spans="1:9" ht="14.25" customHeight="1">
      <c r="A509" s="4"/>
      <c r="B509" s="6"/>
      <c r="C509" s="6"/>
      <c r="D509" s="6"/>
      <c r="E509" s="6"/>
      <c r="F509" s="6"/>
      <c r="G509" s="6"/>
      <c r="H509" s="6"/>
      <c r="I509" s="9"/>
    </row>
    <row r="510" spans="1:9" ht="14.25" customHeight="1">
      <c r="A510" s="4"/>
      <c r="B510" s="6"/>
      <c r="C510" s="6"/>
      <c r="D510" s="6"/>
      <c r="E510" s="6"/>
      <c r="F510" s="6"/>
      <c r="G510" s="6"/>
      <c r="H510" s="6"/>
      <c r="I510" s="9"/>
    </row>
    <row r="511" spans="1:9" ht="14.25" customHeight="1">
      <c r="A511" s="4"/>
      <c r="B511" s="6"/>
      <c r="C511" s="6"/>
      <c r="D511" s="6"/>
      <c r="E511" s="6"/>
      <c r="F511" s="6"/>
      <c r="G511" s="6"/>
      <c r="H511" s="6"/>
      <c r="I511" s="9"/>
    </row>
    <row r="512" spans="1:9" ht="14.25" customHeight="1">
      <c r="A512" s="4"/>
      <c r="B512" s="6"/>
      <c r="C512" s="6"/>
      <c r="D512" s="6"/>
      <c r="E512" s="6"/>
      <c r="F512" s="6"/>
      <c r="G512" s="6"/>
      <c r="H512" s="6"/>
      <c r="I512" s="9"/>
    </row>
    <row r="513" spans="1:9" ht="14.25" customHeight="1">
      <c r="A513" s="4"/>
      <c r="B513" s="6"/>
      <c r="C513" s="6"/>
      <c r="D513" s="6"/>
      <c r="E513" s="6"/>
      <c r="F513" s="6"/>
      <c r="G513" s="6"/>
      <c r="H513" s="6"/>
      <c r="I513" s="9"/>
    </row>
    <row r="514" spans="1:9" ht="14.25" customHeight="1">
      <c r="A514" s="4"/>
      <c r="B514" s="6"/>
      <c r="C514" s="6"/>
      <c r="D514" s="6"/>
      <c r="E514" s="6"/>
      <c r="F514" s="6"/>
      <c r="G514" s="6"/>
      <c r="H514" s="6"/>
      <c r="I514" s="9"/>
    </row>
    <row r="515" spans="1:9" ht="14.25" customHeight="1">
      <c r="A515" s="4"/>
      <c r="B515" s="6"/>
      <c r="C515" s="6"/>
      <c r="D515" s="6"/>
      <c r="E515" s="6"/>
      <c r="F515" s="6"/>
      <c r="G515" s="6"/>
      <c r="H515" s="6"/>
      <c r="I515" s="9"/>
    </row>
    <row r="516" spans="1:9" ht="14.25" customHeight="1">
      <c r="A516" s="4"/>
      <c r="B516" s="6"/>
      <c r="C516" s="6"/>
      <c r="D516" s="6"/>
      <c r="E516" s="6"/>
      <c r="F516" s="6"/>
      <c r="G516" s="6"/>
      <c r="H516" s="6"/>
      <c r="I516" s="9"/>
    </row>
    <row r="517" spans="1:9" ht="14.25" customHeight="1">
      <c r="A517" s="4"/>
      <c r="B517" s="6"/>
      <c r="C517" s="6"/>
      <c r="D517" s="6"/>
      <c r="E517" s="6"/>
      <c r="F517" s="6"/>
      <c r="G517" s="6"/>
      <c r="H517" s="6"/>
      <c r="I517" s="9"/>
    </row>
    <row r="518" spans="1:9" ht="14.25" customHeight="1">
      <c r="A518" s="4"/>
      <c r="B518" s="6"/>
      <c r="C518" s="6"/>
      <c r="D518" s="6"/>
      <c r="E518" s="6"/>
      <c r="F518" s="6"/>
      <c r="G518" s="6"/>
      <c r="H518" s="6"/>
      <c r="I518" s="9"/>
    </row>
    <row r="519" spans="1:9" ht="14.25" customHeight="1">
      <c r="A519" s="4"/>
      <c r="B519" s="6"/>
      <c r="C519" s="6"/>
      <c r="D519" s="6"/>
      <c r="E519" s="6"/>
      <c r="F519" s="6"/>
      <c r="G519" s="6"/>
      <c r="H519" s="6"/>
      <c r="I519" s="9"/>
    </row>
    <row r="520" spans="1:9" ht="14.25" customHeight="1">
      <c r="A520" s="4"/>
      <c r="B520" s="6"/>
      <c r="C520" s="6"/>
      <c r="D520" s="6"/>
      <c r="E520" s="6"/>
      <c r="F520" s="6"/>
      <c r="G520" s="6"/>
      <c r="H520" s="6"/>
      <c r="I520" s="9"/>
    </row>
    <row r="521" spans="1:9" ht="14.25" customHeight="1">
      <c r="A521" s="4"/>
      <c r="B521" s="6"/>
      <c r="C521" s="6"/>
      <c r="D521" s="6"/>
      <c r="E521" s="6"/>
      <c r="F521" s="6"/>
      <c r="G521" s="6"/>
      <c r="H521" s="6"/>
      <c r="I521" s="9"/>
    </row>
    <row r="522" spans="1:9" ht="14.25" customHeight="1">
      <c r="A522" s="4"/>
      <c r="B522" s="6"/>
      <c r="C522" s="6"/>
      <c r="D522" s="6"/>
      <c r="E522" s="6"/>
      <c r="F522" s="6"/>
      <c r="G522" s="6"/>
      <c r="H522" s="6"/>
      <c r="I522" s="9"/>
    </row>
    <row r="523" spans="1:9" ht="14.25" customHeight="1">
      <c r="A523" s="4"/>
      <c r="B523" s="6"/>
      <c r="C523" s="6"/>
      <c r="D523" s="6"/>
      <c r="E523" s="6"/>
      <c r="F523" s="6"/>
      <c r="G523" s="6"/>
      <c r="H523" s="6"/>
      <c r="I523" s="9"/>
    </row>
    <row r="524" spans="1:9" ht="14.25" customHeight="1">
      <c r="A524" s="4"/>
      <c r="B524" s="6"/>
      <c r="C524" s="6"/>
      <c r="D524" s="6"/>
      <c r="E524" s="6"/>
      <c r="F524" s="6"/>
      <c r="G524" s="6"/>
      <c r="H524" s="6"/>
      <c r="I524" s="9"/>
    </row>
    <row r="525" spans="1:9" ht="14.25" customHeight="1">
      <c r="A525" s="4"/>
      <c r="B525" s="6"/>
      <c r="C525" s="6"/>
      <c r="D525" s="6"/>
      <c r="E525" s="6"/>
      <c r="F525" s="6"/>
      <c r="G525" s="6"/>
      <c r="H525" s="6"/>
      <c r="I525" s="9"/>
    </row>
    <row r="526" spans="1:9" ht="14.25" customHeight="1">
      <c r="A526" s="4"/>
      <c r="B526" s="6"/>
      <c r="C526" s="6"/>
      <c r="D526" s="6"/>
      <c r="E526" s="6"/>
      <c r="F526" s="6"/>
      <c r="G526" s="6"/>
      <c r="H526" s="6"/>
      <c r="I526" s="9"/>
    </row>
    <row r="527" spans="1:9" ht="14.25" customHeight="1">
      <c r="A527" s="4"/>
      <c r="B527" s="6"/>
      <c r="C527" s="6"/>
      <c r="D527" s="6"/>
      <c r="E527" s="6"/>
      <c r="F527" s="6"/>
      <c r="G527" s="6"/>
      <c r="H527" s="6"/>
      <c r="I527" s="9"/>
    </row>
    <row r="528" spans="1:9" ht="14.25" customHeight="1">
      <c r="A528" s="4"/>
      <c r="B528" s="6"/>
      <c r="C528" s="6"/>
      <c r="D528" s="6"/>
      <c r="E528" s="6"/>
      <c r="F528" s="6"/>
      <c r="G528" s="6"/>
      <c r="H528" s="6"/>
      <c r="I528" s="9"/>
    </row>
    <row r="529" spans="1:9" ht="14.25" customHeight="1">
      <c r="A529" s="4"/>
      <c r="B529" s="6"/>
      <c r="C529" s="6"/>
      <c r="D529" s="6"/>
      <c r="E529" s="6"/>
      <c r="F529" s="6"/>
      <c r="G529" s="6"/>
      <c r="H529" s="6"/>
      <c r="I529" s="9"/>
    </row>
    <row r="530" spans="1:9" ht="14.25" customHeight="1">
      <c r="A530" s="4"/>
      <c r="B530" s="6"/>
      <c r="C530" s="6"/>
      <c r="D530" s="6"/>
      <c r="E530" s="6"/>
      <c r="F530" s="6"/>
      <c r="G530" s="6"/>
      <c r="H530" s="6"/>
      <c r="I530" s="9"/>
    </row>
    <row r="531" spans="1:9" ht="14.25" customHeight="1">
      <c r="A531" s="4"/>
      <c r="B531" s="6"/>
      <c r="C531" s="6"/>
      <c r="D531" s="6"/>
      <c r="E531" s="6"/>
      <c r="F531" s="6"/>
      <c r="G531" s="6"/>
      <c r="H531" s="6"/>
      <c r="I531" s="9"/>
    </row>
    <row r="532" spans="1:9" ht="14.25" customHeight="1">
      <c r="A532" s="4"/>
      <c r="B532" s="6"/>
      <c r="C532" s="6"/>
      <c r="D532" s="6"/>
      <c r="E532" s="6"/>
      <c r="F532" s="6"/>
      <c r="G532" s="6"/>
      <c r="H532" s="6"/>
      <c r="I532" s="9"/>
    </row>
    <row r="533" spans="1:9" ht="14.25" customHeight="1">
      <c r="A533" s="4"/>
      <c r="B533" s="6"/>
      <c r="C533" s="6"/>
      <c r="D533" s="6"/>
      <c r="E533" s="6"/>
      <c r="F533" s="6"/>
      <c r="G533" s="6"/>
      <c r="H533" s="6"/>
      <c r="I533" s="9"/>
    </row>
    <row r="534" spans="1:9" ht="14.25" customHeight="1">
      <c r="A534" s="4"/>
      <c r="B534" s="6"/>
      <c r="C534" s="6"/>
      <c r="D534" s="6"/>
      <c r="E534" s="6"/>
      <c r="F534" s="6"/>
      <c r="G534" s="6"/>
      <c r="H534" s="6"/>
      <c r="I534" s="9"/>
    </row>
    <row r="535" spans="1:9" ht="14.25" customHeight="1">
      <c r="A535" s="4"/>
      <c r="B535" s="6"/>
      <c r="C535" s="6"/>
      <c r="D535" s="6"/>
      <c r="E535" s="6"/>
      <c r="F535" s="6"/>
      <c r="G535" s="6"/>
      <c r="H535" s="6"/>
      <c r="I535" s="9"/>
    </row>
    <row r="536" spans="1:9" ht="14.25" customHeight="1">
      <c r="A536" s="4"/>
      <c r="B536" s="6"/>
      <c r="C536" s="6"/>
      <c r="D536" s="6"/>
      <c r="E536" s="6"/>
      <c r="F536" s="6"/>
      <c r="G536" s="6"/>
      <c r="H536" s="6"/>
      <c r="I536" s="9"/>
    </row>
    <row r="537" spans="1:9" ht="14.25" customHeight="1">
      <c r="A537" s="4"/>
      <c r="B537" s="6"/>
      <c r="C537" s="6"/>
      <c r="D537" s="6"/>
      <c r="E537" s="6"/>
      <c r="F537" s="6"/>
      <c r="G537" s="6"/>
      <c r="H537" s="6"/>
      <c r="I537" s="9"/>
    </row>
    <row r="538" spans="1:9" ht="14.25" customHeight="1">
      <c r="A538" s="4"/>
      <c r="B538" s="6"/>
      <c r="C538" s="6"/>
      <c r="D538" s="6"/>
      <c r="E538" s="6"/>
      <c r="F538" s="6"/>
      <c r="G538" s="6"/>
      <c r="H538" s="6"/>
      <c r="I538" s="9"/>
    </row>
    <row r="539" spans="1:9" ht="14.25" customHeight="1">
      <c r="A539" s="4"/>
      <c r="B539" s="6"/>
      <c r="C539" s="6"/>
      <c r="D539" s="6"/>
      <c r="E539" s="6"/>
      <c r="F539" s="6"/>
      <c r="G539" s="6"/>
      <c r="H539" s="6"/>
      <c r="I539" s="9"/>
    </row>
    <row r="540" spans="1:9" ht="14.25" customHeight="1">
      <c r="A540" s="4"/>
      <c r="B540" s="6"/>
      <c r="C540" s="6"/>
      <c r="D540" s="6"/>
      <c r="E540" s="6"/>
      <c r="F540" s="6"/>
      <c r="G540" s="6"/>
      <c r="H540" s="6"/>
      <c r="I540" s="9"/>
    </row>
    <row r="541" spans="1:9" ht="14.25" customHeight="1">
      <c r="A541" s="4"/>
      <c r="B541" s="6"/>
      <c r="C541" s="6"/>
      <c r="D541" s="6"/>
      <c r="E541" s="6"/>
      <c r="F541" s="6"/>
      <c r="G541" s="6"/>
      <c r="H541" s="6"/>
      <c r="I541" s="9"/>
    </row>
    <row r="542" spans="1:9" ht="14.25" customHeight="1">
      <c r="A542" s="4"/>
      <c r="B542" s="6"/>
      <c r="C542" s="6"/>
      <c r="D542" s="6"/>
      <c r="E542" s="6"/>
      <c r="F542" s="6"/>
      <c r="G542" s="6"/>
      <c r="H542" s="6"/>
      <c r="I542" s="9"/>
    </row>
    <row r="543" spans="1:9" ht="14.25" customHeight="1">
      <c r="A543" s="4"/>
      <c r="B543" s="6"/>
      <c r="C543" s="6"/>
      <c r="D543" s="6"/>
      <c r="E543" s="6"/>
      <c r="F543" s="6"/>
      <c r="G543" s="6"/>
      <c r="H543" s="6"/>
      <c r="I543" s="9"/>
    </row>
    <row r="544" spans="1:9" ht="14.25" customHeight="1">
      <c r="A544" s="4"/>
      <c r="B544" s="6"/>
      <c r="C544" s="6"/>
      <c r="D544" s="6"/>
      <c r="E544" s="6"/>
      <c r="F544" s="6"/>
      <c r="G544" s="6"/>
      <c r="H544" s="6"/>
      <c r="I544" s="9"/>
    </row>
    <row r="545" spans="1:9" ht="14.25" customHeight="1">
      <c r="A545" s="4"/>
      <c r="B545" s="6"/>
      <c r="C545" s="6"/>
      <c r="D545" s="6"/>
      <c r="E545" s="6"/>
      <c r="F545" s="6"/>
      <c r="G545" s="6"/>
      <c r="H545" s="6"/>
      <c r="I545" s="9"/>
    </row>
    <row r="546" spans="1:9" ht="14.25" customHeight="1">
      <c r="A546" s="4"/>
      <c r="B546" s="6"/>
      <c r="C546" s="6"/>
      <c r="D546" s="6"/>
      <c r="E546" s="6"/>
      <c r="F546" s="6"/>
      <c r="G546" s="6"/>
      <c r="H546" s="6"/>
      <c r="I546" s="9"/>
    </row>
    <row r="547" spans="1:9" ht="14.25" customHeight="1">
      <c r="A547" s="4"/>
      <c r="B547" s="6"/>
      <c r="C547" s="6"/>
      <c r="D547" s="6"/>
      <c r="E547" s="6"/>
      <c r="F547" s="6"/>
      <c r="G547" s="6"/>
      <c r="H547" s="6"/>
      <c r="I547" s="9"/>
    </row>
    <row r="548" spans="1:9" ht="14.25" customHeight="1">
      <c r="A548" s="4"/>
      <c r="B548" s="6"/>
      <c r="C548" s="6"/>
      <c r="D548" s="6"/>
      <c r="E548" s="6"/>
      <c r="F548" s="6"/>
      <c r="G548" s="6"/>
      <c r="H548" s="6"/>
      <c r="I548" s="9"/>
    </row>
    <row r="549" spans="1:9" ht="14.25" customHeight="1">
      <c r="A549" s="4"/>
      <c r="B549" s="6"/>
      <c r="C549" s="6"/>
      <c r="D549" s="6"/>
      <c r="E549" s="6"/>
      <c r="F549" s="6"/>
      <c r="G549" s="6"/>
      <c r="H549" s="6"/>
      <c r="I549" s="9"/>
    </row>
    <row r="550" spans="1:9" ht="14.25" customHeight="1">
      <c r="A550" s="4"/>
      <c r="B550" s="6"/>
      <c r="C550" s="6"/>
      <c r="D550" s="6"/>
      <c r="E550" s="6"/>
      <c r="F550" s="6"/>
      <c r="G550" s="6"/>
      <c r="H550" s="6"/>
      <c r="I550" s="9"/>
    </row>
    <row r="551" spans="1:9" ht="14.25" customHeight="1"/>
    <row r="552" spans="1:9" ht="14.25" customHeight="1"/>
    <row r="553" spans="1:9" ht="14.25" customHeight="1"/>
    <row r="554" spans="1:9" ht="14.25" customHeight="1"/>
    <row r="555" spans="1:9" ht="14.25" customHeight="1"/>
    <row r="556" spans="1:9" ht="14.25" customHeight="1"/>
    <row r="557" spans="1:9" ht="14.25" customHeight="1"/>
    <row r="558" spans="1:9" ht="14.25" customHeight="1"/>
    <row r="559" spans="1:9" ht="14.25" customHeight="1"/>
    <row r="560" spans="1:9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2:G550">
    <cfRule type="expression" dxfId="16" priority="1">
      <formula>OR($G2="Interested",$G2="Applied")</formula>
    </cfRule>
    <cfRule type="expression" dxfId="15" priority="2">
      <formula>OR($G2="Paperwork In Progress",$G2="Paperwork Complete",$G2="Onboarding / Training")</formula>
    </cfRule>
    <cfRule type="expression" dxfId="14" priority="3">
      <formula>$G2="Ready to Work"</formula>
    </cfRule>
    <cfRule type="expression" dxfId="13" priority="4">
      <formula>$G2="Active"</formula>
    </cfRule>
    <cfRule type="expression" dxfId="12" priority="5">
      <formula>OR($G2="On Hold",$G2="Inactive")</formula>
    </cfRule>
  </conditionalFormatting>
  <dataValidations count="3">
    <dataValidation type="list" allowBlank="1" sqref="F2 H2:H550" xr:uid="{00000000-0002-0000-0400-000000000000}">
      <formula1>"Kathleen,Binay,Rajan,Other"</formula1>
    </dataValidation>
    <dataValidation type="list" allowBlank="1" sqref="E2" xr:uid="{00000000-0002-0000-0400-000001000000}">
      <formula1>"Yes,No,N/A,Not Recorded"</formula1>
    </dataValidation>
    <dataValidation type="list" allowBlank="1" sqref="D2 G2:G550" xr:uid="{00000000-0002-0000-0400-000002000000}">
      <formula1>"Interested,Applied,Paperwork In Progress,Paperwork Complete,Onboarding / Training,Ready to Work,Active,On Hold,Inactive"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tabSelected="1" workbookViewId="0">
      <pane ySplit="1" topLeftCell="A37" activePane="bottomLeft" state="frozen"/>
      <selection pane="bottomLeft" activeCell="D51" sqref="D51"/>
    </sheetView>
  </sheetViews>
  <sheetFormatPr defaultColWidth="12.59765625" defaultRowHeight="15" customHeight="1"/>
  <cols>
    <col min="1" max="1" width="24" customWidth="1"/>
    <col min="2" max="2" width="17" customWidth="1"/>
    <col min="3" max="3" width="28" customWidth="1"/>
    <col min="4" max="4" width="16" customWidth="1"/>
    <col min="5" max="5" width="18" customWidth="1"/>
    <col min="6" max="6" width="22" customWidth="1"/>
    <col min="7" max="7" width="12" customWidth="1"/>
    <col min="8" max="8" width="18" hidden="1" customWidth="1"/>
    <col min="9" max="9" width="42" customWidth="1"/>
  </cols>
  <sheetData>
    <row r="1" spans="1:9" ht="33.75" customHeight="1">
      <c r="A1" s="1" t="s">
        <v>11</v>
      </c>
      <c r="B1" s="1" t="s">
        <v>176</v>
      </c>
      <c r="C1" s="1" t="s">
        <v>483</v>
      </c>
      <c r="D1" s="1" t="s">
        <v>177</v>
      </c>
      <c r="E1" s="1" t="s">
        <v>181</v>
      </c>
      <c r="F1" s="1" t="s">
        <v>20</v>
      </c>
      <c r="G1" s="1" t="s">
        <v>36</v>
      </c>
      <c r="H1" s="1" t="s">
        <v>484</v>
      </c>
      <c r="I1" s="1" t="s">
        <v>26</v>
      </c>
    </row>
    <row r="2" spans="1:9" ht="14.25" customHeight="1">
      <c r="A2" s="6"/>
      <c r="B2" s="30"/>
      <c r="C2" s="9"/>
      <c r="D2" s="6"/>
      <c r="E2" s="6"/>
      <c r="F2" s="6"/>
      <c r="G2" s="18"/>
      <c r="H2" s="6"/>
      <c r="I2" s="9"/>
    </row>
    <row r="3" spans="1:9" ht="14.25" customHeight="1">
      <c r="A3" s="6"/>
      <c r="B3" s="30"/>
      <c r="C3" s="9"/>
      <c r="D3" s="6"/>
      <c r="E3" s="6"/>
      <c r="F3" s="6"/>
      <c r="G3" s="18"/>
      <c r="H3" s="6"/>
      <c r="I3" s="9"/>
    </row>
    <row r="4" spans="1:9" ht="14.25" customHeight="1">
      <c r="A4" s="6"/>
      <c r="B4" s="30"/>
      <c r="C4" s="9"/>
      <c r="D4" s="6"/>
      <c r="E4" s="6"/>
      <c r="F4" s="6"/>
      <c r="G4" s="18"/>
      <c r="H4" s="6"/>
      <c r="I4" s="9"/>
    </row>
    <row r="5" spans="1:9" ht="14.25" customHeight="1">
      <c r="A5" s="6" t="s">
        <v>485</v>
      </c>
      <c r="B5" s="30">
        <v>8723717997</v>
      </c>
      <c r="C5" s="9" t="s">
        <v>486</v>
      </c>
      <c r="D5" s="6">
        <v>60617</v>
      </c>
      <c r="E5" s="6" t="s">
        <v>487</v>
      </c>
      <c r="F5" s="6" t="s">
        <v>488</v>
      </c>
      <c r="G5" s="18">
        <v>46286</v>
      </c>
      <c r="H5" s="6"/>
      <c r="I5" s="9" t="s">
        <v>489</v>
      </c>
    </row>
    <row r="6" spans="1:9" ht="14.25" customHeight="1">
      <c r="A6" s="6" t="s">
        <v>490</v>
      </c>
      <c r="B6" s="6" t="s">
        <v>491</v>
      </c>
      <c r="C6" s="9"/>
      <c r="D6" s="6"/>
      <c r="E6" s="6"/>
      <c r="F6" s="6" t="s">
        <v>488</v>
      </c>
      <c r="G6" s="18">
        <v>46279</v>
      </c>
      <c r="H6" s="6" t="s">
        <v>492</v>
      </c>
      <c r="I6" s="9" t="s">
        <v>493</v>
      </c>
    </row>
    <row r="7" spans="1:9" ht="14.25" customHeight="1">
      <c r="A7" s="6" t="s">
        <v>494</v>
      </c>
      <c r="B7" s="6" t="s">
        <v>495</v>
      </c>
      <c r="C7" s="9" t="s">
        <v>496</v>
      </c>
      <c r="D7" s="6" t="s">
        <v>497</v>
      </c>
      <c r="E7" s="6" t="s">
        <v>487</v>
      </c>
      <c r="F7" s="6" t="s">
        <v>459</v>
      </c>
      <c r="G7" s="18">
        <v>46266</v>
      </c>
      <c r="H7" s="6" t="s">
        <v>492</v>
      </c>
      <c r="I7" s="9" t="s">
        <v>498</v>
      </c>
    </row>
    <row r="8" spans="1:9" ht="14.25" customHeight="1">
      <c r="A8" s="6" t="s">
        <v>499</v>
      </c>
      <c r="B8" s="6" t="s">
        <v>500</v>
      </c>
      <c r="C8" s="9" t="s">
        <v>501</v>
      </c>
      <c r="D8" s="6" t="s">
        <v>502</v>
      </c>
      <c r="E8" s="6" t="s">
        <v>503</v>
      </c>
      <c r="F8" s="6" t="s">
        <v>459</v>
      </c>
      <c r="G8" s="18">
        <v>46262</v>
      </c>
      <c r="H8" s="6" t="s">
        <v>492</v>
      </c>
      <c r="I8" s="9" t="s">
        <v>504</v>
      </c>
    </row>
    <row r="9" spans="1:9" ht="14.25" customHeight="1">
      <c r="A9" s="6" t="s">
        <v>505</v>
      </c>
      <c r="B9" s="6" t="s">
        <v>506</v>
      </c>
      <c r="C9" s="9" t="s">
        <v>507</v>
      </c>
      <c r="D9" s="6" t="s">
        <v>502</v>
      </c>
      <c r="E9" s="6" t="s">
        <v>487</v>
      </c>
      <c r="F9" s="6" t="s">
        <v>459</v>
      </c>
      <c r="G9" s="18">
        <v>46262</v>
      </c>
      <c r="H9" s="6" t="s">
        <v>492</v>
      </c>
      <c r="I9" s="9" t="s">
        <v>508</v>
      </c>
    </row>
    <row r="10" spans="1:9" ht="14.25" customHeight="1">
      <c r="A10" s="6" t="s">
        <v>509</v>
      </c>
      <c r="B10" s="6" t="s">
        <v>510</v>
      </c>
      <c r="C10" s="9" t="s">
        <v>511</v>
      </c>
      <c r="D10" s="6" t="s">
        <v>512</v>
      </c>
      <c r="E10" s="6" t="s">
        <v>503</v>
      </c>
      <c r="F10" s="6" t="s">
        <v>488</v>
      </c>
      <c r="G10" s="18">
        <v>46260</v>
      </c>
      <c r="H10" s="6" t="s">
        <v>492</v>
      </c>
      <c r="I10" s="9" t="s">
        <v>513</v>
      </c>
    </row>
    <row r="11" spans="1:9" ht="14.25" customHeight="1">
      <c r="A11" s="6" t="s">
        <v>514</v>
      </c>
      <c r="B11" s="6" t="s">
        <v>515</v>
      </c>
      <c r="C11" s="9" t="s">
        <v>516</v>
      </c>
      <c r="D11" s="6" t="s">
        <v>517</v>
      </c>
      <c r="E11" s="6" t="s">
        <v>487</v>
      </c>
      <c r="F11" s="6" t="s">
        <v>459</v>
      </c>
      <c r="G11" s="18">
        <v>46260</v>
      </c>
      <c r="H11" s="6" t="s">
        <v>492</v>
      </c>
      <c r="I11" s="9" t="s">
        <v>518</v>
      </c>
    </row>
    <row r="12" spans="1:9" ht="14.25" customHeight="1">
      <c r="A12" s="6" t="s">
        <v>519</v>
      </c>
      <c r="B12" s="6" t="s">
        <v>520</v>
      </c>
      <c r="C12" s="9" t="s">
        <v>521</v>
      </c>
      <c r="D12" s="6" t="s">
        <v>522</v>
      </c>
      <c r="E12" s="6" t="s">
        <v>503</v>
      </c>
      <c r="F12" s="6" t="s">
        <v>488</v>
      </c>
      <c r="G12" s="18">
        <v>46258</v>
      </c>
      <c r="H12" s="6" t="s">
        <v>492</v>
      </c>
      <c r="I12" s="9" t="s">
        <v>523</v>
      </c>
    </row>
    <row r="13" spans="1:9" ht="14.25" customHeight="1">
      <c r="A13" s="6" t="s">
        <v>524</v>
      </c>
      <c r="B13" s="6" t="s">
        <v>525</v>
      </c>
      <c r="C13" s="9" t="s">
        <v>526</v>
      </c>
      <c r="D13" s="6" t="s">
        <v>502</v>
      </c>
      <c r="E13" s="6" t="s">
        <v>503</v>
      </c>
      <c r="F13" s="6" t="s">
        <v>488</v>
      </c>
      <c r="G13" s="18">
        <v>46251</v>
      </c>
      <c r="H13" s="6" t="s">
        <v>492</v>
      </c>
      <c r="I13" s="9" t="s">
        <v>518</v>
      </c>
    </row>
    <row r="14" spans="1:9" ht="14.25" customHeight="1">
      <c r="A14" s="6" t="s">
        <v>527</v>
      </c>
      <c r="B14" s="6" t="s">
        <v>528</v>
      </c>
      <c r="C14" s="9" t="s">
        <v>529</v>
      </c>
      <c r="D14" s="6" t="s">
        <v>530</v>
      </c>
      <c r="E14" s="6" t="s">
        <v>503</v>
      </c>
      <c r="F14" s="6" t="s">
        <v>459</v>
      </c>
      <c r="G14" s="18">
        <v>46251</v>
      </c>
      <c r="H14" s="6" t="s">
        <v>492</v>
      </c>
      <c r="I14" s="9" t="s">
        <v>531</v>
      </c>
    </row>
    <row r="15" spans="1:9" ht="14.25" customHeight="1">
      <c r="A15" s="6" t="s">
        <v>532</v>
      </c>
      <c r="B15" s="6" t="s">
        <v>533</v>
      </c>
      <c r="C15" s="9" t="s">
        <v>534</v>
      </c>
      <c r="D15" s="6" t="s">
        <v>535</v>
      </c>
      <c r="E15" s="6" t="s">
        <v>487</v>
      </c>
      <c r="F15" s="6" t="s">
        <v>459</v>
      </c>
      <c r="G15" s="18">
        <v>46244</v>
      </c>
      <c r="H15" s="6" t="s">
        <v>492</v>
      </c>
      <c r="I15" s="9" t="s">
        <v>523</v>
      </c>
    </row>
    <row r="16" spans="1:9" ht="14.25" customHeight="1">
      <c r="A16" s="6" t="s">
        <v>536</v>
      </c>
      <c r="B16" s="6" t="s">
        <v>537</v>
      </c>
      <c r="C16" s="9" t="s">
        <v>538</v>
      </c>
      <c r="D16" s="6" t="s">
        <v>522</v>
      </c>
      <c r="E16" s="6" t="s">
        <v>503</v>
      </c>
      <c r="F16" s="6" t="s">
        <v>488</v>
      </c>
      <c r="G16" s="18">
        <v>46222</v>
      </c>
      <c r="H16" s="6" t="s">
        <v>492</v>
      </c>
      <c r="I16" s="9" t="s">
        <v>489</v>
      </c>
    </row>
    <row r="17" spans="1:9" ht="14.25" customHeight="1">
      <c r="A17" s="6" t="s">
        <v>539</v>
      </c>
      <c r="B17" s="6" t="s">
        <v>540</v>
      </c>
      <c r="C17" s="9" t="s">
        <v>541</v>
      </c>
      <c r="D17" s="6" t="s">
        <v>542</v>
      </c>
      <c r="E17" s="6" t="s">
        <v>503</v>
      </c>
      <c r="F17" s="6" t="s">
        <v>488</v>
      </c>
      <c r="G17" s="18">
        <v>46222</v>
      </c>
      <c r="H17" s="6" t="s">
        <v>492</v>
      </c>
      <c r="I17" s="9" t="s">
        <v>543</v>
      </c>
    </row>
    <row r="18" spans="1:9" ht="14.25" customHeight="1">
      <c r="A18" s="6" t="s">
        <v>544</v>
      </c>
      <c r="B18" s="6" t="s">
        <v>545</v>
      </c>
      <c r="C18" s="9" t="s">
        <v>546</v>
      </c>
      <c r="D18" s="6" t="s">
        <v>547</v>
      </c>
      <c r="E18" s="6" t="s">
        <v>487</v>
      </c>
      <c r="F18" s="6" t="s">
        <v>459</v>
      </c>
      <c r="G18" s="18">
        <v>46222</v>
      </c>
      <c r="H18" s="6" t="s">
        <v>492</v>
      </c>
      <c r="I18" s="9" t="s">
        <v>513</v>
      </c>
    </row>
    <row r="19" spans="1:9" ht="14.25" customHeight="1">
      <c r="A19" s="6" t="s">
        <v>548</v>
      </c>
      <c r="B19" s="6" t="s">
        <v>549</v>
      </c>
      <c r="C19" s="9" t="s">
        <v>550</v>
      </c>
      <c r="D19" s="6" t="s">
        <v>551</v>
      </c>
      <c r="E19" s="6" t="s">
        <v>487</v>
      </c>
      <c r="F19" s="6" t="s">
        <v>459</v>
      </c>
      <c r="G19" s="18">
        <v>46222</v>
      </c>
      <c r="H19" s="6" t="s">
        <v>492</v>
      </c>
      <c r="I19" s="9" t="s">
        <v>552</v>
      </c>
    </row>
    <row r="20" spans="1:9" ht="14.25" customHeight="1">
      <c r="A20" s="6" t="s">
        <v>553</v>
      </c>
      <c r="B20" s="6" t="s">
        <v>554</v>
      </c>
      <c r="C20" s="9" t="s">
        <v>555</v>
      </c>
      <c r="D20" s="6" t="s">
        <v>556</v>
      </c>
      <c r="E20" s="6" t="s">
        <v>487</v>
      </c>
      <c r="F20" s="6" t="s">
        <v>459</v>
      </c>
      <c r="G20" s="18">
        <v>46219</v>
      </c>
      <c r="H20" s="6" t="s">
        <v>492</v>
      </c>
      <c r="I20" s="9" t="s">
        <v>557</v>
      </c>
    </row>
    <row r="21" spans="1:9" ht="14.25" customHeight="1">
      <c r="A21" s="6" t="s">
        <v>558</v>
      </c>
      <c r="B21" s="6" t="s">
        <v>559</v>
      </c>
      <c r="C21" s="9" t="s">
        <v>560</v>
      </c>
      <c r="D21" s="6" t="s">
        <v>561</v>
      </c>
      <c r="E21" s="6" t="s">
        <v>487</v>
      </c>
      <c r="F21" s="6" t="s">
        <v>459</v>
      </c>
      <c r="G21" s="18">
        <v>46217</v>
      </c>
      <c r="H21" s="6" t="s">
        <v>492</v>
      </c>
      <c r="I21" s="9" t="s">
        <v>562</v>
      </c>
    </row>
    <row r="22" spans="1:9" ht="14.25" customHeight="1">
      <c r="A22" s="6" t="s">
        <v>563</v>
      </c>
      <c r="B22" s="6" t="s">
        <v>564</v>
      </c>
      <c r="C22" s="9" t="s">
        <v>565</v>
      </c>
      <c r="D22" s="6" t="s">
        <v>566</v>
      </c>
      <c r="E22" s="6" t="s">
        <v>487</v>
      </c>
      <c r="F22" s="6" t="s">
        <v>459</v>
      </c>
      <c r="G22" s="18">
        <v>46215</v>
      </c>
      <c r="H22" s="6" t="s">
        <v>492</v>
      </c>
      <c r="I22" s="9" t="s">
        <v>518</v>
      </c>
    </row>
    <row r="23" spans="1:9" ht="14.25" customHeight="1">
      <c r="A23" s="6" t="s">
        <v>567</v>
      </c>
      <c r="B23" s="6" t="s">
        <v>568</v>
      </c>
      <c r="C23" s="9" t="s">
        <v>569</v>
      </c>
      <c r="D23" s="6" t="s">
        <v>570</v>
      </c>
      <c r="E23" s="6" t="s">
        <v>487</v>
      </c>
      <c r="F23" s="6" t="s">
        <v>459</v>
      </c>
      <c r="G23" s="18">
        <v>46215</v>
      </c>
      <c r="H23" s="6" t="s">
        <v>492</v>
      </c>
      <c r="I23" s="9" t="s">
        <v>513</v>
      </c>
    </row>
    <row r="24" spans="1:9" ht="14.25" customHeight="1">
      <c r="A24" s="6" t="s">
        <v>571</v>
      </c>
      <c r="B24" s="6" t="s">
        <v>572</v>
      </c>
      <c r="C24" s="9" t="s">
        <v>573</v>
      </c>
      <c r="D24" s="6" t="s">
        <v>574</v>
      </c>
      <c r="E24" s="6" t="s">
        <v>575</v>
      </c>
      <c r="F24" s="6" t="s">
        <v>488</v>
      </c>
      <c r="G24" s="18">
        <v>46210</v>
      </c>
      <c r="H24" s="6" t="s">
        <v>492</v>
      </c>
      <c r="I24" s="9" t="s">
        <v>518</v>
      </c>
    </row>
    <row r="25" spans="1:9" ht="14.25" customHeight="1">
      <c r="A25" s="6" t="s">
        <v>576</v>
      </c>
      <c r="B25" s="6" t="s">
        <v>577</v>
      </c>
      <c r="C25" s="9" t="s">
        <v>578</v>
      </c>
      <c r="D25" s="6" t="s">
        <v>579</v>
      </c>
      <c r="E25" s="6" t="s">
        <v>487</v>
      </c>
      <c r="F25" s="6" t="s">
        <v>459</v>
      </c>
      <c r="G25" s="18">
        <v>46209</v>
      </c>
      <c r="H25" s="6" t="s">
        <v>492</v>
      </c>
      <c r="I25" s="9" t="s">
        <v>518</v>
      </c>
    </row>
    <row r="26" spans="1:9" ht="14.25" customHeight="1">
      <c r="A26" s="6" t="s">
        <v>580</v>
      </c>
      <c r="B26" s="6" t="s">
        <v>581</v>
      </c>
      <c r="C26" s="9" t="s">
        <v>582</v>
      </c>
      <c r="D26" s="6" t="s">
        <v>583</v>
      </c>
      <c r="E26" s="6" t="s">
        <v>487</v>
      </c>
      <c r="F26" s="6" t="s">
        <v>459</v>
      </c>
      <c r="G26" s="18">
        <v>46209</v>
      </c>
      <c r="H26" s="6" t="s">
        <v>492</v>
      </c>
      <c r="I26" s="9" t="s">
        <v>584</v>
      </c>
    </row>
    <row r="27" spans="1:9" ht="14.25" customHeight="1">
      <c r="A27" s="6" t="s">
        <v>585</v>
      </c>
      <c r="B27" s="6" t="s">
        <v>586</v>
      </c>
      <c r="C27" s="9" t="s">
        <v>587</v>
      </c>
      <c r="D27" s="6" t="s">
        <v>588</v>
      </c>
      <c r="E27" s="6" t="s">
        <v>487</v>
      </c>
      <c r="F27" s="6" t="s">
        <v>459</v>
      </c>
      <c r="G27" s="18">
        <v>46202</v>
      </c>
      <c r="H27" s="6" t="s">
        <v>492</v>
      </c>
      <c r="I27" s="9" t="s">
        <v>589</v>
      </c>
    </row>
    <row r="28" spans="1:9" ht="14.25" customHeight="1">
      <c r="A28" s="6" t="s">
        <v>590</v>
      </c>
      <c r="B28" s="6" t="s">
        <v>591</v>
      </c>
      <c r="C28" s="9" t="s">
        <v>592</v>
      </c>
      <c r="D28" s="6" t="s">
        <v>593</v>
      </c>
      <c r="E28" s="6" t="s">
        <v>487</v>
      </c>
      <c r="F28" s="6" t="s">
        <v>459</v>
      </c>
      <c r="G28" s="18">
        <v>46202</v>
      </c>
      <c r="H28" s="6" t="s">
        <v>492</v>
      </c>
      <c r="I28" s="9" t="s">
        <v>594</v>
      </c>
    </row>
    <row r="29" spans="1:9" ht="14.25" customHeight="1">
      <c r="A29" s="6" t="s">
        <v>595</v>
      </c>
      <c r="B29" s="6" t="s">
        <v>596</v>
      </c>
      <c r="C29" s="9" t="s">
        <v>597</v>
      </c>
      <c r="D29" s="6" t="s">
        <v>598</v>
      </c>
      <c r="E29" s="6"/>
      <c r="F29" s="6" t="s">
        <v>459</v>
      </c>
      <c r="G29" s="18">
        <v>46202</v>
      </c>
      <c r="H29" s="6" t="s">
        <v>492</v>
      </c>
      <c r="I29" s="9" t="s">
        <v>594</v>
      </c>
    </row>
    <row r="30" spans="1:9" ht="14.25" customHeight="1">
      <c r="A30" s="6" t="s">
        <v>599</v>
      </c>
      <c r="B30" s="6" t="s">
        <v>600</v>
      </c>
      <c r="C30" s="9"/>
      <c r="D30" s="6" t="s">
        <v>512</v>
      </c>
      <c r="E30" s="6" t="s">
        <v>487</v>
      </c>
      <c r="F30" s="6" t="s">
        <v>488</v>
      </c>
      <c r="G30" s="18">
        <v>46199</v>
      </c>
      <c r="H30" s="6" t="s">
        <v>492</v>
      </c>
      <c r="I30" s="9" t="s">
        <v>601</v>
      </c>
    </row>
    <row r="31" spans="1:9" ht="14.25" customHeight="1">
      <c r="A31" s="6" t="s">
        <v>602</v>
      </c>
      <c r="B31" s="6" t="s">
        <v>603</v>
      </c>
      <c r="C31" s="9" t="s">
        <v>604</v>
      </c>
      <c r="D31" s="6" t="s">
        <v>605</v>
      </c>
      <c r="E31" s="6" t="s">
        <v>487</v>
      </c>
      <c r="F31" s="6" t="s">
        <v>459</v>
      </c>
      <c r="G31" s="18">
        <v>46195</v>
      </c>
      <c r="H31" s="6" t="s">
        <v>492</v>
      </c>
      <c r="I31" s="9" t="s">
        <v>606</v>
      </c>
    </row>
    <row r="32" spans="1:9" ht="14.25" customHeight="1">
      <c r="A32" s="6" t="s">
        <v>607</v>
      </c>
      <c r="B32" s="6" t="s">
        <v>608</v>
      </c>
      <c r="C32" s="9" t="s">
        <v>609</v>
      </c>
      <c r="D32" s="6" t="s">
        <v>512</v>
      </c>
      <c r="E32" s="6" t="s">
        <v>503</v>
      </c>
      <c r="F32" s="6" t="s">
        <v>459</v>
      </c>
      <c r="G32" s="18">
        <v>46187</v>
      </c>
      <c r="H32" s="6" t="s">
        <v>492</v>
      </c>
      <c r="I32" s="9" t="s">
        <v>610</v>
      </c>
    </row>
    <row r="33" spans="1:9" ht="14.25" customHeight="1">
      <c r="A33" s="6" t="s">
        <v>611</v>
      </c>
      <c r="B33" s="6" t="s">
        <v>612</v>
      </c>
      <c r="C33" s="9" t="s">
        <v>613</v>
      </c>
      <c r="D33" s="6" t="s">
        <v>512</v>
      </c>
      <c r="E33" s="6" t="s">
        <v>503</v>
      </c>
      <c r="F33" s="6" t="s">
        <v>459</v>
      </c>
      <c r="G33" s="18">
        <v>46187</v>
      </c>
      <c r="H33" s="6" t="s">
        <v>492</v>
      </c>
      <c r="I33" s="9" t="s">
        <v>610</v>
      </c>
    </row>
    <row r="34" spans="1:9" ht="14.25" customHeight="1">
      <c r="A34" s="6" t="s">
        <v>614</v>
      </c>
      <c r="B34" s="6" t="s">
        <v>615</v>
      </c>
      <c r="C34" s="9" t="s">
        <v>616</v>
      </c>
      <c r="D34" s="6" t="s">
        <v>617</v>
      </c>
      <c r="E34" s="6" t="s">
        <v>487</v>
      </c>
      <c r="F34" s="6" t="s">
        <v>459</v>
      </c>
      <c r="G34" s="18">
        <v>46183</v>
      </c>
      <c r="H34" s="6" t="s">
        <v>492</v>
      </c>
      <c r="I34" s="9" t="s">
        <v>518</v>
      </c>
    </row>
    <row r="35" spans="1:9" ht="14.25" customHeight="1">
      <c r="A35" s="6" t="s">
        <v>618</v>
      </c>
      <c r="B35" s="6" t="s">
        <v>619</v>
      </c>
      <c r="C35" s="9" t="s">
        <v>620</v>
      </c>
      <c r="D35" s="6" t="s">
        <v>621</v>
      </c>
      <c r="E35" s="6" t="s">
        <v>487</v>
      </c>
      <c r="F35" s="6" t="s">
        <v>488</v>
      </c>
      <c r="G35" s="18">
        <v>46182</v>
      </c>
      <c r="H35" s="6" t="s">
        <v>492</v>
      </c>
      <c r="I35" s="9" t="s">
        <v>518</v>
      </c>
    </row>
    <row r="36" spans="1:9" ht="14.25" customHeight="1">
      <c r="A36" s="6" t="s">
        <v>622</v>
      </c>
      <c r="B36" s="6" t="s">
        <v>623</v>
      </c>
      <c r="C36" s="9" t="s">
        <v>624</v>
      </c>
      <c r="D36" s="6" t="s">
        <v>625</v>
      </c>
      <c r="E36" s="6" t="s">
        <v>487</v>
      </c>
      <c r="F36" s="6" t="s">
        <v>488</v>
      </c>
      <c r="G36" s="18">
        <v>46181</v>
      </c>
      <c r="H36" s="6" t="s">
        <v>492</v>
      </c>
      <c r="I36" s="9" t="s">
        <v>518</v>
      </c>
    </row>
    <row r="37" spans="1:9" ht="14.25" customHeight="1">
      <c r="A37" s="6" t="s">
        <v>626</v>
      </c>
      <c r="B37" s="6" t="s">
        <v>627</v>
      </c>
      <c r="C37" s="9" t="s">
        <v>628</v>
      </c>
      <c r="D37" s="6" t="s">
        <v>535</v>
      </c>
      <c r="E37" s="6" t="s">
        <v>487</v>
      </c>
      <c r="F37" s="6" t="s">
        <v>459</v>
      </c>
      <c r="G37" s="18">
        <v>46177</v>
      </c>
      <c r="H37" s="6" t="s">
        <v>492</v>
      </c>
      <c r="I37" s="9" t="s">
        <v>629</v>
      </c>
    </row>
    <row r="38" spans="1:9" ht="14.25" customHeight="1">
      <c r="A38" s="6" t="s">
        <v>630</v>
      </c>
      <c r="B38" s="6" t="s">
        <v>631</v>
      </c>
      <c r="C38" s="9" t="s">
        <v>632</v>
      </c>
      <c r="D38" s="6" t="s">
        <v>633</v>
      </c>
      <c r="E38" s="6" t="s">
        <v>487</v>
      </c>
      <c r="F38" s="6" t="s">
        <v>488</v>
      </c>
      <c r="G38" s="18">
        <v>46176</v>
      </c>
      <c r="H38" s="6" t="s">
        <v>492</v>
      </c>
      <c r="I38" s="9" t="s">
        <v>634</v>
      </c>
    </row>
    <row r="39" spans="1:9" ht="14.25" customHeight="1">
      <c r="A39" s="6" t="s">
        <v>635</v>
      </c>
      <c r="B39" s="6" t="s">
        <v>636</v>
      </c>
      <c r="C39" s="9" t="s">
        <v>637</v>
      </c>
      <c r="D39" s="6" t="s">
        <v>638</v>
      </c>
      <c r="E39" s="6" t="s">
        <v>503</v>
      </c>
      <c r="F39" s="6" t="s">
        <v>459</v>
      </c>
      <c r="G39" s="18">
        <v>46176</v>
      </c>
      <c r="H39" s="6" t="s">
        <v>492</v>
      </c>
      <c r="I39" s="9" t="s">
        <v>513</v>
      </c>
    </row>
    <row r="40" spans="1:9" ht="14.25" customHeight="1">
      <c r="A40" s="6" t="s">
        <v>639</v>
      </c>
      <c r="B40" s="6" t="s">
        <v>640</v>
      </c>
      <c r="C40" s="9" t="s">
        <v>641</v>
      </c>
      <c r="D40" s="6" t="s">
        <v>642</v>
      </c>
      <c r="E40" s="6" t="s">
        <v>487</v>
      </c>
      <c r="F40" s="6" t="s">
        <v>459</v>
      </c>
      <c r="G40" s="18">
        <v>46172</v>
      </c>
      <c r="H40" s="6" t="s">
        <v>492</v>
      </c>
      <c r="I40" s="9" t="s">
        <v>518</v>
      </c>
    </row>
    <row r="41" spans="1:9" ht="14.25" customHeight="1">
      <c r="A41" s="6" t="s">
        <v>643</v>
      </c>
      <c r="B41" s="6" t="s">
        <v>644</v>
      </c>
      <c r="C41" s="9" t="s">
        <v>645</v>
      </c>
      <c r="D41" s="6" t="s">
        <v>646</v>
      </c>
      <c r="E41" s="6" t="s">
        <v>503</v>
      </c>
      <c r="F41" s="6" t="s">
        <v>459</v>
      </c>
      <c r="G41" s="18">
        <v>46172</v>
      </c>
      <c r="H41" s="6" t="s">
        <v>492</v>
      </c>
      <c r="I41" s="9" t="s">
        <v>518</v>
      </c>
    </row>
    <row r="42" spans="1:9" ht="14.25" customHeight="1">
      <c r="A42" s="6" t="s">
        <v>647</v>
      </c>
      <c r="B42" s="6" t="s">
        <v>648</v>
      </c>
      <c r="C42" s="9" t="s">
        <v>649</v>
      </c>
      <c r="D42" s="6" t="s">
        <v>598</v>
      </c>
      <c r="E42" s="6" t="s">
        <v>487</v>
      </c>
      <c r="F42" s="6" t="s">
        <v>459</v>
      </c>
      <c r="G42" s="18">
        <v>46169</v>
      </c>
      <c r="H42" s="6" t="s">
        <v>492</v>
      </c>
      <c r="I42" s="9" t="s">
        <v>610</v>
      </c>
    </row>
    <row r="43" spans="1:9" ht="14.25" customHeight="1">
      <c r="A43" s="6" t="s">
        <v>650</v>
      </c>
      <c r="B43" s="6" t="s">
        <v>651</v>
      </c>
      <c r="C43" s="9" t="s">
        <v>652</v>
      </c>
      <c r="D43" s="6" t="s">
        <v>653</v>
      </c>
      <c r="E43" s="6" t="s">
        <v>503</v>
      </c>
      <c r="F43" s="6" t="s">
        <v>459</v>
      </c>
      <c r="G43" s="18">
        <v>46168</v>
      </c>
      <c r="H43" s="6" t="s">
        <v>492</v>
      </c>
      <c r="I43" s="9" t="s">
        <v>518</v>
      </c>
    </row>
    <row r="44" spans="1:9" ht="14.25" customHeight="1">
      <c r="A44" s="6" t="s">
        <v>654</v>
      </c>
      <c r="B44" s="6" t="s">
        <v>655</v>
      </c>
      <c r="C44" s="9" t="s">
        <v>656</v>
      </c>
      <c r="D44" s="6" t="s">
        <v>657</v>
      </c>
      <c r="E44" s="6" t="s">
        <v>487</v>
      </c>
      <c r="F44" s="6" t="s">
        <v>459</v>
      </c>
      <c r="G44" s="18">
        <v>46168</v>
      </c>
      <c r="H44" s="6" t="s">
        <v>492</v>
      </c>
      <c r="I44" s="9" t="s">
        <v>518</v>
      </c>
    </row>
    <row r="45" spans="1:9" ht="14.25" customHeight="1">
      <c r="A45" s="6" t="s">
        <v>658</v>
      </c>
      <c r="B45" s="6" t="s">
        <v>659</v>
      </c>
      <c r="C45" s="9" t="s">
        <v>660</v>
      </c>
      <c r="D45" s="6" t="s">
        <v>661</v>
      </c>
      <c r="E45" s="6" t="s">
        <v>487</v>
      </c>
      <c r="F45" s="6" t="s">
        <v>488</v>
      </c>
      <c r="G45" s="18">
        <v>46166</v>
      </c>
      <c r="H45" s="6" t="s">
        <v>492</v>
      </c>
      <c r="I45" s="9" t="s">
        <v>513</v>
      </c>
    </row>
    <row r="46" spans="1:9" ht="14.25" customHeight="1">
      <c r="A46" s="6" t="s">
        <v>662</v>
      </c>
      <c r="B46" s="6" t="s">
        <v>663</v>
      </c>
      <c r="C46" s="9" t="s">
        <v>664</v>
      </c>
      <c r="D46" s="6" t="s">
        <v>665</v>
      </c>
      <c r="E46" s="6" t="s">
        <v>503</v>
      </c>
      <c r="F46" s="6" t="s">
        <v>459</v>
      </c>
      <c r="G46" s="18">
        <v>46166</v>
      </c>
      <c r="H46" s="6" t="s">
        <v>492</v>
      </c>
      <c r="I46" s="9" t="s">
        <v>513</v>
      </c>
    </row>
    <row r="47" spans="1:9" ht="14.25" customHeight="1">
      <c r="A47" s="6" t="s">
        <v>666</v>
      </c>
      <c r="B47" s="6" t="s">
        <v>667</v>
      </c>
      <c r="C47" s="9" t="s">
        <v>668</v>
      </c>
      <c r="D47" s="6" t="s">
        <v>669</v>
      </c>
      <c r="E47" s="6" t="s">
        <v>487</v>
      </c>
      <c r="F47" s="6" t="s">
        <v>459</v>
      </c>
      <c r="G47" s="18">
        <v>46164</v>
      </c>
      <c r="H47" s="6" t="s">
        <v>492</v>
      </c>
      <c r="I47" s="9" t="s">
        <v>670</v>
      </c>
    </row>
    <row r="48" spans="1:9" ht="14.25" customHeight="1">
      <c r="A48" s="6" t="s">
        <v>671</v>
      </c>
      <c r="B48" s="6" t="s">
        <v>672</v>
      </c>
      <c r="C48" s="9" t="s">
        <v>673</v>
      </c>
      <c r="D48" s="6" t="s">
        <v>674</v>
      </c>
      <c r="E48" s="6" t="s">
        <v>675</v>
      </c>
      <c r="F48" s="6" t="s">
        <v>488</v>
      </c>
      <c r="G48" s="18">
        <v>46163</v>
      </c>
      <c r="H48" s="6" t="s">
        <v>492</v>
      </c>
      <c r="I48" s="9" t="s">
        <v>676</v>
      </c>
    </row>
    <row r="49" spans="1:9" ht="14.25" customHeight="1">
      <c r="A49" s="6" t="s">
        <v>677</v>
      </c>
      <c r="B49" s="6" t="s">
        <v>678</v>
      </c>
      <c r="C49" s="9" t="s">
        <v>679</v>
      </c>
      <c r="D49" s="6" t="s">
        <v>680</v>
      </c>
      <c r="E49" s="6" t="s">
        <v>487</v>
      </c>
      <c r="F49" s="6" t="s">
        <v>459</v>
      </c>
      <c r="G49" s="18">
        <v>46163</v>
      </c>
      <c r="H49" s="6" t="s">
        <v>492</v>
      </c>
      <c r="I49" s="9" t="s">
        <v>562</v>
      </c>
    </row>
    <row r="50" spans="1:9" ht="14.25" customHeight="1">
      <c r="A50" s="6" t="s">
        <v>681</v>
      </c>
      <c r="B50" s="6" t="s">
        <v>682</v>
      </c>
      <c r="C50" s="9" t="s">
        <v>683</v>
      </c>
      <c r="D50" s="6" t="s">
        <v>570</v>
      </c>
      <c r="E50" s="6" t="s">
        <v>503</v>
      </c>
      <c r="F50" s="6" t="s">
        <v>459</v>
      </c>
      <c r="G50" s="18">
        <v>46163</v>
      </c>
      <c r="H50" s="6" t="s">
        <v>492</v>
      </c>
      <c r="I50" s="9" t="s">
        <v>684</v>
      </c>
    </row>
    <row r="51" spans="1:9" ht="14.25" customHeight="1">
      <c r="A51" s="6" t="s">
        <v>685</v>
      </c>
      <c r="B51" s="6" t="s">
        <v>686</v>
      </c>
      <c r="C51" s="9" t="s">
        <v>687</v>
      </c>
      <c r="D51" s="6" t="s">
        <v>688</v>
      </c>
      <c r="E51" s="6" t="s">
        <v>487</v>
      </c>
      <c r="F51" s="6" t="s">
        <v>488</v>
      </c>
      <c r="G51" s="18">
        <v>46158</v>
      </c>
      <c r="H51" s="6" t="s">
        <v>492</v>
      </c>
      <c r="I51" s="9" t="s">
        <v>689</v>
      </c>
    </row>
    <row r="52" spans="1:9" ht="14.25" customHeight="1">
      <c r="A52" s="6" t="s">
        <v>690</v>
      </c>
      <c r="B52" s="6" t="s">
        <v>691</v>
      </c>
      <c r="C52" s="9" t="s">
        <v>692</v>
      </c>
      <c r="D52" s="6" t="s">
        <v>693</v>
      </c>
      <c r="E52" s="6" t="s">
        <v>503</v>
      </c>
      <c r="F52" s="6" t="s">
        <v>459</v>
      </c>
      <c r="G52" s="18">
        <v>46158</v>
      </c>
      <c r="H52" s="6" t="s">
        <v>492</v>
      </c>
      <c r="I52" s="9" t="s">
        <v>513</v>
      </c>
    </row>
    <row r="53" spans="1:9" ht="14.25" customHeight="1">
      <c r="A53" s="6" t="s">
        <v>694</v>
      </c>
      <c r="B53" s="6" t="s">
        <v>695</v>
      </c>
      <c r="C53" s="9" t="s">
        <v>696</v>
      </c>
      <c r="D53" s="6" t="s">
        <v>697</v>
      </c>
      <c r="E53" s="6" t="s">
        <v>487</v>
      </c>
      <c r="F53" s="6" t="s">
        <v>488</v>
      </c>
      <c r="G53" s="18">
        <v>46155</v>
      </c>
      <c r="H53" s="6" t="s">
        <v>492</v>
      </c>
      <c r="I53" s="9" t="s">
        <v>543</v>
      </c>
    </row>
    <row r="54" spans="1:9" ht="14.25" customHeight="1">
      <c r="A54" s="6" t="s">
        <v>698</v>
      </c>
      <c r="B54" s="6" t="s">
        <v>699</v>
      </c>
      <c r="C54" s="9" t="s">
        <v>700</v>
      </c>
      <c r="D54" s="6" t="s">
        <v>701</v>
      </c>
      <c r="E54" s="6" t="s">
        <v>503</v>
      </c>
      <c r="F54" s="6" t="s">
        <v>488</v>
      </c>
      <c r="G54" s="18">
        <v>46150</v>
      </c>
      <c r="H54" s="6" t="s">
        <v>492</v>
      </c>
      <c r="I54" s="9"/>
    </row>
    <row r="55" spans="1:9" ht="14.25" customHeight="1">
      <c r="A55" s="6" t="s">
        <v>702</v>
      </c>
      <c r="B55" s="6" t="s">
        <v>703</v>
      </c>
      <c r="C55" s="9" t="s">
        <v>704</v>
      </c>
      <c r="D55" s="6" t="s">
        <v>705</v>
      </c>
      <c r="E55" s="6" t="s">
        <v>487</v>
      </c>
      <c r="F55" s="6" t="s">
        <v>459</v>
      </c>
      <c r="G55" s="18">
        <v>46150</v>
      </c>
      <c r="H55" s="6" t="s">
        <v>492</v>
      </c>
      <c r="I55" s="9" t="s">
        <v>706</v>
      </c>
    </row>
    <row r="56" spans="1:9" ht="14.25" customHeight="1">
      <c r="A56" s="6" t="s">
        <v>707</v>
      </c>
      <c r="B56" s="6" t="s">
        <v>708</v>
      </c>
      <c r="C56" s="9" t="s">
        <v>709</v>
      </c>
      <c r="D56" s="6" t="s">
        <v>710</v>
      </c>
      <c r="E56" s="6" t="s">
        <v>503</v>
      </c>
      <c r="F56" s="6" t="s">
        <v>459</v>
      </c>
      <c r="G56" s="18">
        <v>46150</v>
      </c>
      <c r="H56" s="6" t="s">
        <v>492</v>
      </c>
      <c r="I56" s="9" t="s">
        <v>610</v>
      </c>
    </row>
    <row r="57" spans="1:9" ht="14.25" customHeight="1">
      <c r="A57" s="6" t="s">
        <v>711</v>
      </c>
      <c r="B57" s="6" t="s">
        <v>712</v>
      </c>
      <c r="C57" s="9" t="s">
        <v>713</v>
      </c>
      <c r="D57" s="6" t="s">
        <v>714</v>
      </c>
      <c r="E57" s="6" t="s">
        <v>487</v>
      </c>
      <c r="F57" s="6" t="s">
        <v>488</v>
      </c>
      <c r="G57" s="18">
        <v>46145</v>
      </c>
      <c r="H57" s="6" t="s">
        <v>492</v>
      </c>
      <c r="I57" s="9" t="s">
        <v>715</v>
      </c>
    </row>
    <row r="58" spans="1:9" ht="14.25" customHeight="1">
      <c r="A58" s="6" t="s">
        <v>716</v>
      </c>
      <c r="B58" s="6" t="s">
        <v>717</v>
      </c>
      <c r="C58" s="9" t="s">
        <v>718</v>
      </c>
      <c r="D58" s="6" t="s">
        <v>719</v>
      </c>
      <c r="E58" s="6" t="s">
        <v>575</v>
      </c>
      <c r="F58" s="6" t="s">
        <v>488</v>
      </c>
      <c r="G58" s="18">
        <v>46143</v>
      </c>
      <c r="H58" s="6" t="s">
        <v>492</v>
      </c>
      <c r="I58" s="9" t="s">
        <v>720</v>
      </c>
    </row>
    <row r="59" spans="1:9" ht="14.25" customHeight="1">
      <c r="A59" s="6" t="s">
        <v>721</v>
      </c>
      <c r="B59" s="6" t="s">
        <v>722</v>
      </c>
      <c r="C59" s="9" t="s">
        <v>723</v>
      </c>
      <c r="D59" s="6" t="s">
        <v>724</v>
      </c>
      <c r="E59" s="6" t="s">
        <v>503</v>
      </c>
      <c r="F59" s="6" t="s">
        <v>459</v>
      </c>
      <c r="G59" s="18">
        <v>46143</v>
      </c>
      <c r="H59" s="6" t="s">
        <v>492</v>
      </c>
      <c r="I59" s="9" t="s">
        <v>725</v>
      </c>
    </row>
    <row r="60" spans="1:9" ht="14.25" customHeight="1">
      <c r="A60" s="6" t="s">
        <v>726</v>
      </c>
      <c r="B60" s="6" t="s">
        <v>727</v>
      </c>
      <c r="C60" s="9" t="s">
        <v>728</v>
      </c>
      <c r="D60" s="6" t="s">
        <v>729</v>
      </c>
      <c r="E60" s="6" t="s">
        <v>487</v>
      </c>
      <c r="F60" s="6" t="s">
        <v>459</v>
      </c>
      <c r="G60" s="18">
        <v>46140</v>
      </c>
      <c r="H60" s="6" t="s">
        <v>492</v>
      </c>
      <c r="I60" s="9" t="s">
        <v>730</v>
      </c>
    </row>
    <row r="61" spans="1:9" ht="14.25" customHeight="1">
      <c r="A61" s="6" t="s">
        <v>731</v>
      </c>
      <c r="B61" s="6" t="s">
        <v>732</v>
      </c>
      <c r="C61" s="9" t="s">
        <v>733</v>
      </c>
      <c r="D61" s="6" t="s">
        <v>497</v>
      </c>
      <c r="E61" s="6" t="s">
        <v>487</v>
      </c>
      <c r="F61" s="6" t="s">
        <v>459</v>
      </c>
      <c r="G61" s="18">
        <v>46138</v>
      </c>
      <c r="H61" s="6" t="s">
        <v>492</v>
      </c>
      <c r="I61" s="9" t="s">
        <v>734</v>
      </c>
    </row>
    <row r="62" spans="1:9" ht="14.25" customHeight="1">
      <c r="A62" s="6" t="s">
        <v>735</v>
      </c>
      <c r="B62" s="6" t="s">
        <v>736</v>
      </c>
      <c r="C62" s="9" t="s">
        <v>737</v>
      </c>
      <c r="D62" s="6" t="s">
        <v>547</v>
      </c>
      <c r="E62" s="6" t="s">
        <v>487</v>
      </c>
      <c r="F62" s="6" t="s">
        <v>488</v>
      </c>
      <c r="G62" s="18">
        <v>46135</v>
      </c>
      <c r="H62" s="6" t="s">
        <v>492</v>
      </c>
      <c r="I62" s="9" t="s">
        <v>684</v>
      </c>
    </row>
    <row r="63" spans="1:9" ht="14.25" customHeight="1">
      <c r="A63" s="6" t="s">
        <v>738</v>
      </c>
      <c r="B63" s="6" t="s">
        <v>739</v>
      </c>
      <c r="C63" s="9" t="s">
        <v>740</v>
      </c>
      <c r="D63" s="6" t="s">
        <v>719</v>
      </c>
      <c r="E63" s="6" t="s">
        <v>487</v>
      </c>
      <c r="F63" s="6" t="s">
        <v>488</v>
      </c>
      <c r="G63" s="18">
        <v>46132</v>
      </c>
      <c r="H63" s="6" t="s">
        <v>492</v>
      </c>
      <c r="I63" s="9" t="s">
        <v>741</v>
      </c>
    </row>
    <row r="64" spans="1:9" ht="14.25" customHeight="1">
      <c r="A64" s="6" t="s">
        <v>742</v>
      </c>
      <c r="B64" s="6" t="s">
        <v>743</v>
      </c>
      <c r="C64" s="9" t="s">
        <v>744</v>
      </c>
      <c r="D64" s="6" t="s">
        <v>719</v>
      </c>
      <c r="E64" s="6" t="s">
        <v>487</v>
      </c>
      <c r="F64" s="6" t="s">
        <v>488</v>
      </c>
      <c r="G64" s="18">
        <v>46131</v>
      </c>
      <c r="H64" s="6" t="s">
        <v>492</v>
      </c>
      <c r="I64" s="9" t="s">
        <v>745</v>
      </c>
    </row>
    <row r="65" spans="1:9" ht="14.25" customHeight="1">
      <c r="A65" s="6" t="s">
        <v>746</v>
      </c>
      <c r="B65" s="6" t="s">
        <v>747</v>
      </c>
      <c r="C65" s="9" t="s">
        <v>748</v>
      </c>
      <c r="D65" s="6" t="s">
        <v>749</v>
      </c>
      <c r="E65" s="6" t="s">
        <v>575</v>
      </c>
      <c r="F65" s="6" t="s">
        <v>459</v>
      </c>
      <c r="G65" s="18">
        <v>46126</v>
      </c>
      <c r="H65" s="6" t="s">
        <v>492</v>
      </c>
      <c r="I65" s="9" t="s">
        <v>750</v>
      </c>
    </row>
    <row r="66" spans="1:9" ht="14.25" customHeight="1">
      <c r="A66" s="6" t="s">
        <v>751</v>
      </c>
      <c r="B66" s="6" t="s">
        <v>752</v>
      </c>
      <c r="C66" s="9" t="s">
        <v>753</v>
      </c>
      <c r="D66" s="6" t="s">
        <v>669</v>
      </c>
      <c r="E66" s="6" t="s">
        <v>675</v>
      </c>
      <c r="F66" s="6" t="s">
        <v>488</v>
      </c>
      <c r="G66" s="18">
        <v>46124</v>
      </c>
      <c r="H66" s="6" t="s">
        <v>492</v>
      </c>
      <c r="I66" s="9" t="s">
        <v>745</v>
      </c>
    </row>
    <row r="67" spans="1:9" ht="14.25" customHeight="1">
      <c r="A67" s="6" t="s">
        <v>754</v>
      </c>
      <c r="B67" s="6" t="s">
        <v>755</v>
      </c>
      <c r="C67" s="9" t="s">
        <v>756</v>
      </c>
      <c r="D67" s="6" t="s">
        <v>705</v>
      </c>
      <c r="E67" s="6" t="s">
        <v>487</v>
      </c>
      <c r="F67" s="6" t="s">
        <v>488</v>
      </c>
      <c r="G67" s="18">
        <v>46124</v>
      </c>
      <c r="H67" s="6" t="s">
        <v>492</v>
      </c>
      <c r="I67" s="9" t="s">
        <v>757</v>
      </c>
    </row>
    <row r="68" spans="1:9" ht="14.25" customHeight="1">
      <c r="A68" s="6" t="s">
        <v>758</v>
      </c>
      <c r="B68" s="6" t="s">
        <v>759</v>
      </c>
      <c r="C68" s="9" t="s">
        <v>760</v>
      </c>
      <c r="D68" s="6" t="s">
        <v>761</v>
      </c>
      <c r="E68" s="6" t="s">
        <v>487</v>
      </c>
      <c r="F68" s="6" t="s">
        <v>488</v>
      </c>
      <c r="G68" s="18">
        <v>46124</v>
      </c>
      <c r="H68" s="6" t="s">
        <v>492</v>
      </c>
      <c r="I68" s="9" t="s">
        <v>762</v>
      </c>
    </row>
    <row r="69" spans="1:9" ht="14.25" customHeight="1">
      <c r="A69" s="6" t="s">
        <v>763</v>
      </c>
      <c r="B69" s="6" t="s">
        <v>764</v>
      </c>
      <c r="C69" s="9" t="s">
        <v>765</v>
      </c>
      <c r="D69" s="6" t="s">
        <v>669</v>
      </c>
      <c r="E69" s="6" t="s">
        <v>487</v>
      </c>
      <c r="F69" s="6" t="s">
        <v>488</v>
      </c>
      <c r="G69" s="18">
        <v>46119</v>
      </c>
      <c r="H69" s="6" t="s">
        <v>492</v>
      </c>
      <c r="I69" s="9" t="s">
        <v>766</v>
      </c>
    </row>
    <row r="70" spans="1:9" ht="14.25" customHeight="1">
      <c r="A70" s="6" t="s">
        <v>767</v>
      </c>
      <c r="B70" s="6" t="s">
        <v>768</v>
      </c>
      <c r="C70" s="9" t="s">
        <v>769</v>
      </c>
      <c r="D70" s="6" t="s">
        <v>770</v>
      </c>
      <c r="E70" s="6" t="s">
        <v>487</v>
      </c>
      <c r="F70" s="6" t="s">
        <v>488</v>
      </c>
      <c r="G70" s="18">
        <v>46119</v>
      </c>
      <c r="H70" s="6" t="s">
        <v>492</v>
      </c>
      <c r="I70" s="9" t="s">
        <v>771</v>
      </c>
    </row>
    <row r="71" spans="1:9" ht="14.25" customHeight="1">
      <c r="A71" s="6" t="s">
        <v>772</v>
      </c>
      <c r="B71" s="6" t="s">
        <v>773</v>
      </c>
      <c r="C71" s="9" t="s">
        <v>774</v>
      </c>
      <c r="D71" s="6" t="s">
        <v>775</v>
      </c>
      <c r="E71" s="6" t="s">
        <v>487</v>
      </c>
      <c r="F71" s="6" t="s">
        <v>488</v>
      </c>
      <c r="G71" s="18">
        <v>46117</v>
      </c>
      <c r="H71" s="6" t="s">
        <v>492</v>
      </c>
      <c r="I71" s="9" t="s">
        <v>776</v>
      </c>
    </row>
    <row r="72" spans="1:9" ht="14.25" customHeight="1">
      <c r="A72" s="6" t="s">
        <v>777</v>
      </c>
      <c r="B72" s="6" t="s">
        <v>778</v>
      </c>
      <c r="C72" s="9" t="s">
        <v>779</v>
      </c>
      <c r="D72" s="6" t="s">
        <v>669</v>
      </c>
      <c r="E72" s="6" t="s">
        <v>487</v>
      </c>
      <c r="F72" s="6" t="s">
        <v>488</v>
      </c>
      <c r="G72" s="18">
        <v>46115</v>
      </c>
      <c r="H72" s="6" t="s">
        <v>492</v>
      </c>
      <c r="I72" s="9" t="s">
        <v>489</v>
      </c>
    </row>
    <row r="73" spans="1:9" ht="14.25" customHeight="1">
      <c r="A73" s="6" t="s">
        <v>780</v>
      </c>
      <c r="B73" s="6" t="s">
        <v>781</v>
      </c>
      <c r="C73" s="9" t="s">
        <v>782</v>
      </c>
      <c r="D73" s="6" t="s">
        <v>617</v>
      </c>
      <c r="E73" s="6" t="s">
        <v>487</v>
      </c>
      <c r="F73" s="6" t="s">
        <v>488</v>
      </c>
      <c r="G73" s="18">
        <v>46114</v>
      </c>
      <c r="H73" s="6" t="s">
        <v>492</v>
      </c>
      <c r="I73" s="9" t="s">
        <v>518</v>
      </c>
    </row>
    <row r="74" spans="1:9" ht="14.25" customHeight="1">
      <c r="A74" s="6" t="s">
        <v>783</v>
      </c>
      <c r="B74" s="6" t="s">
        <v>784</v>
      </c>
      <c r="C74" s="9" t="s">
        <v>782</v>
      </c>
      <c r="D74" s="6" t="s">
        <v>617</v>
      </c>
      <c r="E74" s="6" t="s">
        <v>487</v>
      </c>
      <c r="F74" s="6" t="s">
        <v>488</v>
      </c>
      <c r="G74" s="18">
        <v>46114</v>
      </c>
      <c r="H74" s="6" t="s">
        <v>492</v>
      </c>
      <c r="I74" s="9" t="s">
        <v>518</v>
      </c>
    </row>
    <row r="75" spans="1:9" ht="14.25" customHeight="1">
      <c r="A75" s="6" t="s">
        <v>785</v>
      </c>
      <c r="B75" s="6" t="s">
        <v>786</v>
      </c>
      <c r="C75" s="9" t="s">
        <v>787</v>
      </c>
      <c r="D75" s="6" t="s">
        <v>788</v>
      </c>
      <c r="E75" s="6" t="s">
        <v>487</v>
      </c>
      <c r="F75" s="6" t="s">
        <v>488</v>
      </c>
      <c r="G75" s="18">
        <v>46114</v>
      </c>
      <c r="H75" s="6" t="s">
        <v>492</v>
      </c>
      <c r="I75" s="9" t="s">
        <v>518</v>
      </c>
    </row>
    <row r="76" spans="1:9" ht="14.25" customHeight="1">
      <c r="A76" s="6" t="s">
        <v>789</v>
      </c>
      <c r="B76" s="6" t="s">
        <v>790</v>
      </c>
      <c r="C76" s="9" t="s">
        <v>791</v>
      </c>
      <c r="D76" s="6" t="s">
        <v>792</v>
      </c>
      <c r="E76" s="6" t="s">
        <v>487</v>
      </c>
      <c r="F76" s="6" t="s">
        <v>488</v>
      </c>
      <c r="G76" s="18">
        <v>46114</v>
      </c>
      <c r="H76" s="6" t="s">
        <v>492</v>
      </c>
      <c r="I76" s="9" t="s">
        <v>489</v>
      </c>
    </row>
    <row r="77" spans="1:9" ht="14.25" customHeight="1">
      <c r="A77" s="6" t="s">
        <v>793</v>
      </c>
      <c r="B77" s="6" t="s">
        <v>794</v>
      </c>
      <c r="C77" s="9" t="s">
        <v>795</v>
      </c>
      <c r="D77" s="6" t="s">
        <v>796</v>
      </c>
      <c r="E77" s="6" t="s">
        <v>487</v>
      </c>
      <c r="F77" s="6" t="s">
        <v>488</v>
      </c>
      <c r="G77" s="18">
        <v>46114</v>
      </c>
      <c r="H77" s="6" t="s">
        <v>492</v>
      </c>
      <c r="I77" s="9" t="s">
        <v>797</v>
      </c>
    </row>
    <row r="78" spans="1:9" ht="14.25" customHeight="1">
      <c r="A78" s="6" t="s">
        <v>798</v>
      </c>
      <c r="B78" s="6" t="s">
        <v>799</v>
      </c>
      <c r="C78" s="9" t="s">
        <v>800</v>
      </c>
      <c r="D78" s="6" t="s">
        <v>801</v>
      </c>
      <c r="E78" s="6" t="s">
        <v>487</v>
      </c>
      <c r="F78" s="6" t="s">
        <v>488</v>
      </c>
      <c r="G78" s="18">
        <v>46110</v>
      </c>
      <c r="H78" s="6" t="s">
        <v>492</v>
      </c>
      <c r="I78" s="9" t="s">
        <v>610</v>
      </c>
    </row>
    <row r="79" spans="1:9" ht="14.25" customHeight="1">
      <c r="A79" s="6" t="s">
        <v>802</v>
      </c>
      <c r="B79" s="6" t="s">
        <v>803</v>
      </c>
      <c r="C79" s="9" t="s">
        <v>804</v>
      </c>
      <c r="D79" s="6" t="s">
        <v>801</v>
      </c>
      <c r="E79" s="6" t="s">
        <v>575</v>
      </c>
      <c r="F79" s="6" t="s">
        <v>488</v>
      </c>
      <c r="G79" s="18">
        <v>46104</v>
      </c>
      <c r="H79" s="6" t="s">
        <v>492</v>
      </c>
      <c r="I79" s="9" t="s">
        <v>805</v>
      </c>
    </row>
    <row r="80" spans="1:9" ht="14.25" customHeight="1">
      <c r="A80" s="6" t="s">
        <v>806</v>
      </c>
      <c r="B80" s="6" t="s">
        <v>807</v>
      </c>
      <c r="C80" s="9" t="s">
        <v>808</v>
      </c>
      <c r="D80" s="6" t="s">
        <v>542</v>
      </c>
      <c r="E80" s="6" t="s">
        <v>487</v>
      </c>
      <c r="F80" s="6" t="s">
        <v>488</v>
      </c>
      <c r="G80" s="18">
        <v>46104</v>
      </c>
      <c r="H80" s="6" t="s">
        <v>492</v>
      </c>
      <c r="I80" s="9" t="s">
        <v>809</v>
      </c>
    </row>
    <row r="81" spans="1:9" ht="14.25" customHeight="1">
      <c r="A81" s="6" t="s">
        <v>810</v>
      </c>
      <c r="B81" s="6" t="s">
        <v>811</v>
      </c>
      <c r="C81" s="9" t="s">
        <v>812</v>
      </c>
      <c r="D81" s="6" t="s">
        <v>542</v>
      </c>
      <c r="E81" s="6" t="s">
        <v>503</v>
      </c>
      <c r="F81" s="6" t="s">
        <v>459</v>
      </c>
      <c r="G81" s="18">
        <v>46104</v>
      </c>
      <c r="H81" s="6" t="s">
        <v>492</v>
      </c>
      <c r="I81" s="9" t="s">
        <v>610</v>
      </c>
    </row>
    <row r="82" spans="1:9" ht="14.25" customHeight="1">
      <c r="A82" s="6" t="s">
        <v>813</v>
      </c>
      <c r="B82" s="6" t="s">
        <v>814</v>
      </c>
      <c r="C82" s="9" t="s">
        <v>815</v>
      </c>
      <c r="D82" s="6" t="s">
        <v>816</v>
      </c>
      <c r="E82" s="6" t="s">
        <v>487</v>
      </c>
      <c r="F82" s="6" t="s">
        <v>459</v>
      </c>
      <c r="G82" s="18">
        <v>46104</v>
      </c>
      <c r="H82" s="6" t="s">
        <v>492</v>
      </c>
      <c r="I82" s="9" t="s">
        <v>489</v>
      </c>
    </row>
    <row r="83" spans="1:9" ht="14.25" customHeight="1">
      <c r="A83" s="6" t="s">
        <v>817</v>
      </c>
      <c r="B83" s="6" t="s">
        <v>818</v>
      </c>
      <c r="C83" s="9" t="s">
        <v>819</v>
      </c>
      <c r="D83" s="6" t="s">
        <v>820</v>
      </c>
      <c r="E83" s="6" t="s">
        <v>487</v>
      </c>
      <c r="F83" s="6" t="s">
        <v>459</v>
      </c>
      <c r="G83" s="18">
        <v>46099</v>
      </c>
      <c r="H83" s="6" t="s">
        <v>492</v>
      </c>
      <c r="I83" s="9" t="s">
        <v>821</v>
      </c>
    </row>
    <row r="84" spans="1:9" ht="14.25" customHeight="1">
      <c r="A84" s="6" t="s">
        <v>822</v>
      </c>
      <c r="B84" s="6" t="s">
        <v>823</v>
      </c>
      <c r="C84" s="9" t="s">
        <v>824</v>
      </c>
      <c r="D84" s="6" t="s">
        <v>617</v>
      </c>
      <c r="E84" s="6" t="s">
        <v>487</v>
      </c>
      <c r="F84" s="6" t="s">
        <v>488</v>
      </c>
      <c r="G84" s="18">
        <v>46097</v>
      </c>
      <c r="H84" s="6" t="s">
        <v>492</v>
      </c>
      <c r="I84" s="9" t="s">
        <v>513</v>
      </c>
    </row>
    <row r="85" spans="1:9" ht="14.25" customHeight="1">
      <c r="A85" s="6" t="s">
        <v>825</v>
      </c>
      <c r="B85" s="6" t="s">
        <v>826</v>
      </c>
      <c r="C85" s="9" t="s">
        <v>827</v>
      </c>
      <c r="D85" s="6" t="s">
        <v>828</v>
      </c>
      <c r="E85" s="6" t="s">
        <v>487</v>
      </c>
      <c r="F85" s="6" t="s">
        <v>488</v>
      </c>
      <c r="G85" s="18">
        <v>46097</v>
      </c>
      <c r="H85" s="6" t="s">
        <v>492</v>
      </c>
      <c r="I85" s="9" t="s">
        <v>489</v>
      </c>
    </row>
    <row r="86" spans="1:9" ht="14.25" customHeight="1">
      <c r="A86" s="6" t="s">
        <v>829</v>
      </c>
      <c r="B86" s="6" t="s">
        <v>830</v>
      </c>
      <c r="C86" s="9" t="s">
        <v>831</v>
      </c>
      <c r="D86" s="6" t="s">
        <v>638</v>
      </c>
      <c r="E86" s="6" t="s">
        <v>487</v>
      </c>
      <c r="F86" s="6" t="s">
        <v>488</v>
      </c>
      <c r="G86" s="18">
        <v>46097</v>
      </c>
      <c r="H86" s="6" t="s">
        <v>492</v>
      </c>
      <c r="I86" s="9" t="s">
        <v>832</v>
      </c>
    </row>
    <row r="87" spans="1:9" ht="14.25" customHeight="1">
      <c r="A87" s="6" t="s">
        <v>833</v>
      </c>
      <c r="B87" s="6" t="s">
        <v>834</v>
      </c>
      <c r="C87" s="9" t="s">
        <v>835</v>
      </c>
      <c r="D87" s="6" t="s">
        <v>836</v>
      </c>
      <c r="E87" s="6" t="s">
        <v>575</v>
      </c>
      <c r="F87" s="6" t="s">
        <v>488</v>
      </c>
      <c r="G87" s="18">
        <v>46096</v>
      </c>
      <c r="H87" s="6" t="s">
        <v>492</v>
      </c>
      <c r="I87" s="9" t="s">
        <v>513</v>
      </c>
    </row>
    <row r="88" spans="1:9" ht="14.25" customHeight="1">
      <c r="A88" s="6" t="s">
        <v>837</v>
      </c>
      <c r="B88" s="6" t="s">
        <v>838</v>
      </c>
      <c r="C88" s="9" t="s">
        <v>839</v>
      </c>
      <c r="D88" s="6" t="s">
        <v>836</v>
      </c>
      <c r="E88" s="6" t="s">
        <v>487</v>
      </c>
      <c r="F88" s="6" t="s">
        <v>488</v>
      </c>
      <c r="G88" s="18">
        <v>46096</v>
      </c>
      <c r="H88" s="6" t="s">
        <v>492</v>
      </c>
      <c r="I88" s="9" t="s">
        <v>840</v>
      </c>
    </row>
    <row r="89" spans="1:9" ht="14.25" customHeight="1">
      <c r="A89" s="6" t="s">
        <v>841</v>
      </c>
      <c r="B89" s="6" t="s">
        <v>842</v>
      </c>
      <c r="C89" s="9" t="s">
        <v>843</v>
      </c>
      <c r="D89" s="6" t="s">
        <v>844</v>
      </c>
      <c r="E89" s="6" t="s">
        <v>487</v>
      </c>
      <c r="F89" s="6" t="s">
        <v>488</v>
      </c>
      <c r="G89" s="18">
        <v>46093</v>
      </c>
      <c r="H89" s="6" t="s">
        <v>492</v>
      </c>
      <c r="I89" s="9" t="s">
        <v>845</v>
      </c>
    </row>
    <row r="90" spans="1:9" ht="14.25" customHeight="1">
      <c r="A90" s="6" t="s">
        <v>846</v>
      </c>
      <c r="B90" s="6" t="s">
        <v>847</v>
      </c>
      <c r="C90" s="9" t="s">
        <v>848</v>
      </c>
      <c r="D90" s="6" t="s">
        <v>588</v>
      </c>
      <c r="E90" s="6" t="s">
        <v>487</v>
      </c>
      <c r="F90" s="6" t="s">
        <v>488</v>
      </c>
      <c r="G90" s="18">
        <v>46092</v>
      </c>
      <c r="H90" s="6" t="s">
        <v>492</v>
      </c>
      <c r="I90" s="9" t="s">
        <v>849</v>
      </c>
    </row>
    <row r="91" spans="1:9" ht="14.25" customHeight="1">
      <c r="A91" s="6" t="s">
        <v>850</v>
      </c>
      <c r="B91" s="6" t="s">
        <v>851</v>
      </c>
      <c r="C91" s="9" t="s">
        <v>852</v>
      </c>
      <c r="D91" s="6" t="s">
        <v>542</v>
      </c>
      <c r="E91" s="6" t="s">
        <v>575</v>
      </c>
      <c r="F91" s="6" t="s">
        <v>488</v>
      </c>
      <c r="G91" s="18">
        <v>46092</v>
      </c>
      <c r="H91" s="6" t="s">
        <v>492</v>
      </c>
      <c r="I91" s="9" t="s">
        <v>853</v>
      </c>
    </row>
    <row r="92" spans="1:9" ht="14.25" customHeight="1">
      <c r="A92" s="6" t="s">
        <v>854</v>
      </c>
      <c r="B92" s="6" t="s">
        <v>855</v>
      </c>
      <c r="C92" s="9" t="s">
        <v>856</v>
      </c>
      <c r="D92" s="6" t="s">
        <v>857</v>
      </c>
      <c r="E92" s="6" t="s">
        <v>675</v>
      </c>
      <c r="F92" s="6" t="s">
        <v>488</v>
      </c>
      <c r="G92" s="18">
        <v>46092</v>
      </c>
      <c r="H92" s="6" t="s">
        <v>492</v>
      </c>
      <c r="I92" s="9" t="s">
        <v>858</v>
      </c>
    </row>
    <row r="93" spans="1:9" ht="14.25" customHeight="1">
      <c r="A93" s="6" t="s">
        <v>859</v>
      </c>
      <c r="B93" s="6" t="s">
        <v>860</v>
      </c>
      <c r="C93" s="9" t="s">
        <v>861</v>
      </c>
      <c r="D93" s="6" t="s">
        <v>862</v>
      </c>
      <c r="E93" s="6" t="s">
        <v>503</v>
      </c>
      <c r="F93" s="6" t="s">
        <v>488</v>
      </c>
      <c r="G93" s="18">
        <v>46092</v>
      </c>
      <c r="H93" s="6" t="s">
        <v>492</v>
      </c>
      <c r="I93" s="9" t="s">
        <v>513</v>
      </c>
    </row>
    <row r="94" spans="1:9" ht="14.25" customHeight="1">
      <c r="A94" s="6" t="s">
        <v>863</v>
      </c>
      <c r="B94" s="6" t="s">
        <v>864</v>
      </c>
      <c r="C94" s="9" t="s">
        <v>865</v>
      </c>
      <c r="D94" s="6" t="s">
        <v>866</v>
      </c>
      <c r="E94" s="6" t="s">
        <v>575</v>
      </c>
      <c r="F94" s="6" t="s">
        <v>488</v>
      </c>
      <c r="G94" s="18">
        <v>46092</v>
      </c>
      <c r="H94" s="6" t="s">
        <v>492</v>
      </c>
      <c r="I94" s="9" t="s">
        <v>518</v>
      </c>
    </row>
    <row r="95" spans="1:9" ht="14.25" customHeight="1">
      <c r="A95" s="6" t="s">
        <v>867</v>
      </c>
      <c r="B95" s="6" t="s">
        <v>868</v>
      </c>
      <c r="C95" s="9" t="s">
        <v>869</v>
      </c>
      <c r="D95" s="6" t="s">
        <v>870</v>
      </c>
      <c r="E95" s="6" t="s">
        <v>575</v>
      </c>
      <c r="F95" s="6" t="s">
        <v>488</v>
      </c>
      <c r="G95" s="18">
        <v>46092</v>
      </c>
      <c r="H95" s="6" t="s">
        <v>492</v>
      </c>
      <c r="I95" s="9" t="s">
        <v>871</v>
      </c>
    </row>
    <row r="96" spans="1:9" ht="14.25" customHeight="1">
      <c r="A96" s="6" t="s">
        <v>872</v>
      </c>
      <c r="B96" s="6" t="s">
        <v>873</v>
      </c>
      <c r="C96" s="9" t="s">
        <v>874</v>
      </c>
      <c r="D96" s="6" t="s">
        <v>875</v>
      </c>
      <c r="E96" s="6" t="s">
        <v>487</v>
      </c>
      <c r="F96" s="6" t="s">
        <v>488</v>
      </c>
      <c r="G96" s="18">
        <v>46091</v>
      </c>
      <c r="H96" s="6" t="s">
        <v>492</v>
      </c>
      <c r="I96" s="9" t="s">
        <v>876</v>
      </c>
    </row>
    <row r="97" spans="1:9" ht="14.25" customHeight="1">
      <c r="A97" s="6" t="s">
        <v>877</v>
      </c>
      <c r="B97" s="6" t="s">
        <v>878</v>
      </c>
      <c r="C97" s="9" t="s">
        <v>879</v>
      </c>
      <c r="D97" s="6" t="s">
        <v>617</v>
      </c>
      <c r="E97" s="6" t="s">
        <v>503</v>
      </c>
      <c r="F97" s="6" t="s">
        <v>488</v>
      </c>
      <c r="G97" s="18">
        <v>46090</v>
      </c>
      <c r="H97" s="6" t="s">
        <v>492</v>
      </c>
      <c r="I97" s="9" t="s">
        <v>518</v>
      </c>
    </row>
    <row r="98" spans="1:9" ht="14.25" customHeight="1">
      <c r="A98" s="6" t="s">
        <v>880</v>
      </c>
      <c r="B98" s="6" t="s">
        <v>881</v>
      </c>
      <c r="C98" s="9" t="s">
        <v>882</v>
      </c>
      <c r="D98" s="6" t="s">
        <v>710</v>
      </c>
      <c r="E98" s="6" t="s">
        <v>487</v>
      </c>
      <c r="F98" s="6" t="s">
        <v>488</v>
      </c>
      <c r="G98" s="18">
        <v>46086</v>
      </c>
      <c r="H98" s="6" t="s">
        <v>492</v>
      </c>
      <c r="I98" s="9" t="s">
        <v>883</v>
      </c>
    </row>
    <row r="99" spans="1:9" ht="14.25" customHeight="1">
      <c r="A99" s="6" t="s">
        <v>884</v>
      </c>
      <c r="B99" s="6" t="s">
        <v>885</v>
      </c>
      <c r="C99" s="9" t="s">
        <v>886</v>
      </c>
      <c r="D99" s="6" t="s">
        <v>887</v>
      </c>
      <c r="E99" s="6" t="s">
        <v>487</v>
      </c>
      <c r="F99" s="6" t="s">
        <v>488</v>
      </c>
      <c r="G99" s="18">
        <v>46086</v>
      </c>
      <c r="H99" s="6" t="s">
        <v>492</v>
      </c>
      <c r="I99" s="9" t="s">
        <v>489</v>
      </c>
    </row>
    <row r="100" spans="1:9" ht="14.25" customHeight="1">
      <c r="A100" s="6" t="s">
        <v>888</v>
      </c>
      <c r="B100" s="6" t="s">
        <v>889</v>
      </c>
      <c r="C100" s="9" t="s">
        <v>890</v>
      </c>
      <c r="D100" s="6" t="s">
        <v>891</v>
      </c>
      <c r="E100" s="6" t="s">
        <v>503</v>
      </c>
      <c r="F100" s="6" t="s">
        <v>488</v>
      </c>
      <c r="G100" s="18">
        <v>46086</v>
      </c>
      <c r="H100" s="6" t="s">
        <v>492</v>
      </c>
      <c r="I100" s="9" t="s">
        <v>489</v>
      </c>
    </row>
    <row r="101" spans="1:9" ht="14.25" customHeight="1">
      <c r="A101" s="6" t="s">
        <v>892</v>
      </c>
      <c r="B101" s="6" t="s">
        <v>893</v>
      </c>
      <c r="C101" s="9" t="s">
        <v>894</v>
      </c>
      <c r="D101" s="6" t="s">
        <v>828</v>
      </c>
      <c r="E101" s="6" t="s">
        <v>503</v>
      </c>
      <c r="F101" s="6" t="s">
        <v>488</v>
      </c>
      <c r="G101" s="18">
        <v>46086</v>
      </c>
      <c r="H101" s="6" t="s">
        <v>492</v>
      </c>
      <c r="I101" s="9" t="s">
        <v>895</v>
      </c>
    </row>
    <row r="102" spans="1:9" ht="14.25" customHeight="1">
      <c r="A102" s="6" t="s">
        <v>896</v>
      </c>
      <c r="B102" s="6" t="s">
        <v>897</v>
      </c>
      <c r="C102" s="9" t="s">
        <v>898</v>
      </c>
      <c r="D102" s="6" t="s">
        <v>588</v>
      </c>
      <c r="E102" s="6" t="s">
        <v>487</v>
      </c>
      <c r="F102" s="6" t="s">
        <v>488</v>
      </c>
      <c r="G102" s="18">
        <v>46085</v>
      </c>
      <c r="H102" s="6" t="s">
        <v>492</v>
      </c>
      <c r="I102" s="9" t="s">
        <v>899</v>
      </c>
    </row>
    <row r="103" spans="1:9" ht="14.25" customHeight="1">
      <c r="A103" s="6" t="s">
        <v>900</v>
      </c>
      <c r="B103" s="6" t="s">
        <v>901</v>
      </c>
      <c r="C103" s="9"/>
      <c r="D103" s="6" t="s">
        <v>902</v>
      </c>
      <c r="E103" s="6" t="s">
        <v>503</v>
      </c>
      <c r="F103" s="6" t="s">
        <v>488</v>
      </c>
      <c r="G103" s="18">
        <v>46083</v>
      </c>
      <c r="H103" s="6" t="s">
        <v>492</v>
      </c>
      <c r="I103" s="9" t="s">
        <v>903</v>
      </c>
    </row>
    <row r="104" spans="1:9" ht="14.25" customHeight="1">
      <c r="A104" s="6" t="s">
        <v>904</v>
      </c>
      <c r="B104" s="6" t="s">
        <v>901</v>
      </c>
      <c r="C104" s="9" t="s">
        <v>905</v>
      </c>
      <c r="D104" s="6" t="s">
        <v>906</v>
      </c>
      <c r="E104" s="6" t="s">
        <v>487</v>
      </c>
      <c r="F104" s="6" t="s">
        <v>459</v>
      </c>
      <c r="G104" s="18">
        <v>46083</v>
      </c>
      <c r="H104" s="6" t="s">
        <v>492</v>
      </c>
      <c r="I104" s="9" t="s">
        <v>634</v>
      </c>
    </row>
    <row r="105" spans="1:9" ht="14.25" customHeight="1">
      <c r="A105" s="6" t="s">
        <v>907</v>
      </c>
      <c r="B105" s="6" t="s">
        <v>908</v>
      </c>
      <c r="C105" s="9" t="s">
        <v>909</v>
      </c>
      <c r="D105" s="6" t="s">
        <v>530</v>
      </c>
      <c r="E105" s="6" t="s">
        <v>487</v>
      </c>
      <c r="F105" s="6" t="s">
        <v>488</v>
      </c>
      <c r="G105" s="18">
        <v>46077</v>
      </c>
      <c r="H105" s="6" t="s">
        <v>492</v>
      </c>
      <c r="I105" s="9" t="s">
        <v>910</v>
      </c>
    </row>
    <row r="106" spans="1:9" ht="14.25" customHeight="1">
      <c r="A106" s="6" t="s">
        <v>911</v>
      </c>
      <c r="B106" s="6" t="s">
        <v>912</v>
      </c>
      <c r="C106" s="9" t="s">
        <v>913</v>
      </c>
      <c r="D106" s="6" t="s">
        <v>530</v>
      </c>
      <c r="E106" s="6" t="s">
        <v>675</v>
      </c>
      <c r="F106" s="6" t="s">
        <v>459</v>
      </c>
      <c r="G106" s="18">
        <v>46077</v>
      </c>
      <c r="H106" s="6" t="s">
        <v>492</v>
      </c>
      <c r="I106" s="9" t="s">
        <v>489</v>
      </c>
    </row>
    <row r="107" spans="1:9" ht="14.25" customHeight="1">
      <c r="A107" s="6" t="s">
        <v>914</v>
      </c>
      <c r="B107" s="6" t="s">
        <v>915</v>
      </c>
      <c r="C107" s="9" t="s">
        <v>632</v>
      </c>
      <c r="D107" s="6" t="s">
        <v>617</v>
      </c>
      <c r="E107" s="6" t="s">
        <v>675</v>
      </c>
      <c r="F107" s="6" t="s">
        <v>488</v>
      </c>
      <c r="G107" s="18">
        <v>46076</v>
      </c>
      <c r="H107" s="6" t="s">
        <v>492</v>
      </c>
      <c r="I107" s="9" t="s">
        <v>916</v>
      </c>
    </row>
    <row r="108" spans="1:9" ht="14.25" customHeight="1">
      <c r="A108" s="6" t="s">
        <v>917</v>
      </c>
      <c r="B108" s="6" t="s">
        <v>918</v>
      </c>
      <c r="C108" s="9" t="s">
        <v>919</v>
      </c>
      <c r="D108" s="6" t="s">
        <v>502</v>
      </c>
      <c r="E108" s="6" t="s">
        <v>503</v>
      </c>
      <c r="F108" s="6" t="s">
        <v>488</v>
      </c>
      <c r="G108" s="18">
        <v>46076</v>
      </c>
      <c r="H108" s="6" t="s">
        <v>492</v>
      </c>
      <c r="I108" s="9" t="s">
        <v>916</v>
      </c>
    </row>
    <row r="109" spans="1:9" ht="14.25" customHeight="1">
      <c r="A109" s="6" t="s">
        <v>920</v>
      </c>
      <c r="B109" s="6" t="s">
        <v>921</v>
      </c>
      <c r="C109" s="9"/>
      <c r="D109" s="6" t="s">
        <v>625</v>
      </c>
      <c r="E109" s="6" t="s">
        <v>575</v>
      </c>
      <c r="F109" s="6" t="s">
        <v>488</v>
      </c>
      <c r="G109" s="18">
        <v>46071</v>
      </c>
      <c r="H109" s="6" t="s">
        <v>492</v>
      </c>
      <c r="I109" s="9" t="s">
        <v>922</v>
      </c>
    </row>
    <row r="110" spans="1:9" ht="14.25" customHeight="1">
      <c r="A110" s="6" t="s">
        <v>923</v>
      </c>
      <c r="B110" s="6" t="s">
        <v>924</v>
      </c>
      <c r="C110" s="9"/>
      <c r="D110" s="6" t="s">
        <v>788</v>
      </c>
      <c r="E110" s="6"/>
      <c r="F110" s="6" t="s">
        <v>488</v>
      </c>
      <c r="G110" s="18">
        <v>46071</v>
      </c>
      <c r="H110" s="6" t="s">
        <v>492</v>
      </c>
      <c r="I110" s="9"/>
    </row>
    <row r="111" spans="1:9" ht="14.25" customHeight="1">
      <c r="A111" s="6" t="s">
        <v>925</v>
      </c>
      <c r="B111" s="6" t="s">
        <v>926</v>
      </c>
      <c r="C111" s="9"/>
      <c r="D111" s="6" t="s">
        <v>502</v>
      </c>
      <c r="E111" s="6" t="s">
        <v>487</v>
      </c>
      <c r="F111" s="6" t="s">
        <v>488</v>
      </c>
      <c r="G111" s="18">
        <v>46071</v>
      </c>
      <c r="H111" s="6" t="s">
        <v>492</v>
      </c>
      <c r="I111" s="9" t="s">
        <v>927</v>
      </c>
    </row>
    <row r="112" spans="1:9" ht="14.25" customHeight="1">
      <c r="A112" s="6" t="s">
        <v>928</v>
      </c>
      <c r="B112" s="6" t="s">
        <v>929</v>
      </c>
      <c r="C112" s="9"/>
      <c r="D112" s="6" t="s">
        <v>502</v>
      </c>
      <c r="E112" s="6" t="s">
        <v>487</v>
      </c>
      <c r="F112" s="6" t="s">
        <v>488</v>
      </c>
      <c r="G112" s="18">
        <v>46071</v>
      </c>
      <c r="H112" s="6" t="s">
        <v>492</v>
      </c>
      <c r="I112" s="9" t="s">
        <v>927</v>
      </c>
    </row>
    <row r="113" spans="1:9" ht="14.25" customHeight="1">
      <c r="A113" s="6" t="s">
        <v>930</v>
      </c>
      <c r="B113" s="6" t="s">
        <v>931</v>
      </c>
      <c r="C113" s="9"/>
      <c r="D113" s="6" t="s">
        <v>522</v>
      </c>
      <c r="E113" s="6" t="s">
        <v>487</v>
      </c>
      <c r="F113" s="6" t="s">
        <v>459</v>
      </c>
      <c r="G113" s="18">
        <v>46065</v>
      </c>
      <c r="H113" s="6" t="s">
        <v>492</v>
      </c>
      <c r="I113" s="9" t="s">
        <v>932</v>
      </c>
    </row>
    <row r="114" spans="1:9" ht="14.25" customHeight="1">
      <c r="A114" s="6" t="s">
        <v>933</v>
      </c>
      <c r="B114" s="6" t="s">
        <v>934</v>
      </c>
      <c r="C114" s="9"/>
      <c r="D114" s="6" t="s">
        <v>710</v>
      </c>
      <c r="E114" s="6" t="s">
        <v>503</v>
      </c>
      <c r="F114" s="6" t="s">
        <v>459</v>
      </c>
      <c r="G114" s="18">
        <v>46065</v>
      </c>
      <c r="H114" s="6" t="s">
        <v>492</v>
      </c>
      <c r="I114" s="9" t="s">
        <v>935</v>
      </c>
    </row>
    <row r="115" spans="1:9" ht="14.25" customHeight="1">
      <c r="A115" s="6" t="s">
        <v>936</v>
      </c>
      <c r="B115" s="6" t="s">
        <v>937</v>
      </c>
      <c r="C115" s="9"/>
      <c r="D115" s="6" t="s">
        <v>938</v>
      </c>
      <c r="E115" s="6" t="s">
        <v>487</v>
      </c>
      <c r="F115" s="6" t="s">
        <v>488</v>
      </c>
      <c r="G115" s="18"/>
      <c r="H115" s="6" t="s">
        <v>492</v>
      </c>
      <c r="I115" s="9" t="s">
        <v>459</v>
      </c>
    </row>
    <row r="116" spans="1:9" ht="14.25" customHeight="1">
      <c r="A116" s="6" t="s">
        <v>939</v>
      </c>
      <c r="B116" s="6" t="s">
        <v>940</v>
      </c>
      <c r="C116" s="9"/>
      <c r="D116" s="6"/>
      <c r="E116" s="6"/>
      <c r="F116" s="6" t="s">
        <v>488</v>
      </c>
      <c r="G116" s="18"/>
      <c r="H116" s="6" t="s">
        <v>492</v>
      </c>
      <c r="I116" s="9"/>
    </row>
    <row r="117" spans="1:9" ht="14.25" customHeight="1">
      <c r="A117" s="6" t="s">
        <v>941</v>
      </c>
      <c r="B117" s="6" t="s">
        <v>942</v>
      </c>
      <c r="C117" s="9"/>
      <c r="D117" s="6" t="s">
        <v>943</v>
      </c>
      <c r="E117" s="6" t="s">
        <v>575</v>
      </c>
      <c r="F117" s="6" t="s">
        <v>488</v>
      </c>
      <c r="G117" s="18"/>
      <c r="H117" s="6" t="s">
        <v>492</v>
      </c>
      <c r="I117" s="9" t="s">
        <v>518</v>
      </c>
    </row>
    <row r="118" spans="1:9" ht="14.25" customHeight="1">
      <c r="A118" s="6" t="s">
        <v>944</v>
      </c>
      <c r="B118" s="6" t="s">
        <v>945</v>
      </c>
      <c r="C118" s="9"/>
      <c r="D118" s="6" t="s">
        <v>574</v>
      </c>
      <c r="E118" s="6"/>
      <c r="F118" s="6" t="s">
        <v>488</v>
      </c>
      <c r="G118" s="18"/>
      <c r="H118" s="6" t="s">
        <v>492</v>
      </c>
      <c r="I118" s="9" t="s">
        <v>927</v>
      </c>
    </row>
    <row r="119" spans="1:9" ht="14.25" customHeight="1">
      <c r="A119" s="6" t="s">
        <v>946</v>
      </c>
      <c r="B119" s="6" t="s">
        <v>947</v>
      </c>
      <c r="C119" s="9" t="s">
        <v>948</v>
      </c>
      <c r="D119" s="6" t="s">
        <v>949</v>
      </c>
      <c r="E119" s="6" t="s">
        <v>487</v>
      </c>
      <c r="F119" s="6" t="s">
        <v>459</v>
      </c>
      <c r="G119" s="18"/>
      <c r="H119" s="6" t="s">
        <v>492</v>
      </c>
      <c r="I119" s="9"/>
    </row>
    <row r="120" spans="1:9" ht="14.25" customHeight="1">
      <c r="A120" s="6" t="s">
        <v>951</v>
      </c>
      <c r="B120" s="30" t="s">
        <v>952</v>
      </c>
      <c r="C120" s="9" t="s">
        <v>953</v>
      </c>
      <c r="D120" s="6">
        <v>60640</v>
      </c>
      <c r="E120" s="6"/>
      <c r="F120" s="6" t="s">
        <v>488</v>
      </c>
      <c r="G120" s="18">
        <v>46297</v>
      </c>
      <c r="H120" s="6"/>
      <c r="I120" s="9"/>
    </row>
    <row r="121" spans="1:9" ht="14.25" customHeight="1">
      <c r="A121" s="6"/>
      <c r="B121" s="30"/>
      <c r="C121" s="9"/>
      <c r="D121" s="6"/>
      <c r="E121" s="6"/>
      <c r="F121" s="6"/>
      <c r="G121" s="18"/>
      <c r="H121" s="6"/>
      <c r="I121" s="9"/>
    </row>
    <row r="122" spans="1:9" ht="14.25" customHeight="1">
      <c r="A122" s="6"/>
      <c r="B122" s="30"/>
      <c r="C122" s="9"/>
      <c r="D122" s="6"/>
      <c r="E122" s="6"/>
      <c r="F122" s="6"/>
      <c r="G122" s="18"/>
      <c r="H122" s="6"/>
      <c r="I122" s="9"/>
    </row>
    <row r="123" spans="1:9" ht="14.25" customHeight="1">
      <c r="A123" s="6"/>
      <c r="B123" s="30"/>
      <c r="C123" s="9"/>
      <c r="D123" s="6"/>
      <c r="E123" s="6"/>
      <c r="F123" s="6"/>
      <c r="G123" s="18"/>
      <c r="H123" s="6"/>
      <c r="I123" s="9"/>
    </row>
    <row r="124" spans="1:9" ht="14.25" customHeight="1">
      <c r="A124" s="6"/>
      <c r="B124" s="30"/>
      <c r="C124" s="9"/>
      <c r="D124" s="6"/>
      <c r="E124" s="6"/>
      <c r="F124" s="6"/>
      <c r="G124" s="18"/>
      <c r="H124" s="6"/>
      <c r="I124" s="9"/>
    </row>
    <row r="125" spans="1:9" ht="14.25" customHeight="1">
      <c r="A125" s="6"/>
      <c r="B125" s="30"/>
      <c r="C125" s="9"/>
      <c r="D125" s="6"/>
      <c r="E125" s="6"/>
      <c r="F125" s="6"/>
      <c r="G125" s="18"/>
      <c r="H125" s="6"/>
      <c r="I125" s="9"/>
    </row>
    <row r="126" spans="1:9" ht="14.25" customHeight="1">
      <c r="A126" s="6"/>
      <c r="B126" s="30"/>
      <c r="C126" s="9"/>
      <c r="D126" s="6"/>
      <c r="E126" s="6"/>
      <c r="F126" s="6"/>
      <c r="G126" s="18"/>
      <c r="H126" s="6"/>
      <c r="I126" s="9"/>
    </row>
    <row r="127" spans="1:9" ht="14.25" customHeight="1">
      <c r="A127" s="6"/>
      <c r="B127" s="30"/>
      <c r="C127" s="9"/>
      <c r="D127" s="6"/>
      <c r="E127" s="6"/>
      <c r="F127" s="6"/>
      <c r="G127" s="18"/>
      <c r="H127" s="6"/>
      <c r="I127" s="9"/>
    </row>
    <row r="128" spans="1:9" ht="14.25" customHeight="1">
      <c r="A128" s="6"/>
      <c r="B128" s="30"/>
      <c r="C128" s="9"/>
      <c r="D128" s="6"/>
      <c r="E128" s="6"/>
      <c r="F128" s="6"/>
      <c r="G128" s="18"/>
      <c r="H128" s="6"/>
      <c r="I128" s="9"/>
    </row>
    <row r="129" spans="1:9" ht="14.25" customHeight="1">
      <c r="A129" s="6"/>
      <c r="B129" s="30"/>
      <c r="C129" s="9"/>
      <c r="D129" s="6"/>
      <c r="E129" s="6"/>
      <c r="F129" s="6"/>
      <c r="G129" s="18"/>
      <c r="H129" s="6"/>
      <c r="I129" s="9"/>
    </row>
    <row r="130" spans="1:9" ht="14.25" customHeight="1">
      <c r="A130" s="6"/>
      <c r="B130" s="30"/>
      <c r="C130" s="9"/>
      <c r="D130" s="6"/>
      <c r="E130" s="6"/>
      <c r="F130" s="6"/>
      <c r="G130" s="18"/>
      <c r="H130" s="6"/>
      <c r="I130" s="9"/>
    </row>
    <row r="131" spans="1:9" ht="14.25" customHeight="1">
      <c r="A131" s="6"/>
      <c r="B131" s="30"/>
      <c r="C131" s="9"/>
      <c r="D131" s="6"/>
      <c r="E131" s="6"/>
      <c r="F131" s="6"/>
      <c r="G131" s="18"/>
      <c r="H131" s="6"/>
      <c r="I131" s="9"/>
    </row>
    <row r="132" spans="1:9" ht="14.25" customHeight="1">
      <c r="A132" s="6"/>
      <c r="B132" s="30"/>
      <c r="C132" s="9"/>
      <c r="D132" s="6"/>
      <c r="E132" s="6"/>
      <c r="F132" s="6"/>
      <c r="G132" s="18"/>
      <c r="H132" s="6"/>
      <c r="I132" s="9"/>
    </row>
    <row r="133" spans="1:9" ht="14.25" customHeight="1">
      <c r="A133" s="6"/>
      <c r="B133" s="30"/>
      <c r="C133" s="9"/>
      <c r="D133" s="6"/>
      <c r="E133" s="6"/>
      <c r="F133" s="6"/>
      <c r="G133" s="18"/>
      <c r="H133" s="6"/>
      <c r="I133" s="9"/>
    </row>
    <row r="134" spans="1:9" ht="14.25" customHeight="1">
      <c r="A134" s="6"/>
      <c r="B134" s="30"/>
      <c r="C134" s="9"/>
      <c r="D134" s="6"/>
      <c r="E134" s="6"/>
      <c r="F134" s="6"/>
      <c r="G134" s="18"/>
      <c r="H134" s="6"/>
      <c r="I134" s="9"/>
    </row>
    <row r="135" spans="1:9" ht="14.25" customHeight="1">
      <c r="A135" s="6"/>
      <c r="B135" s="30"/>
      <c r="C135" s="9"/>
      <c r="D135" s="6"/>
      <c r="E135" s="6"/>
      <c r="F135" s="6"/>
      <c r="G135" s="18"/>
      <c r="H135" s="6"/>
      <c r="I135" s="9"/>
    </row>
    <row r="136" spans="1:9" ht="14.25" customHeight="1">
      <c r="A136" s="6"/>
      <c r="B136" s="30"/>
      <c r="C136" s="9"/>
      <c r="D136" s="6"/>
      <c r="E136" s="6"/>
      <c r="F136" s="6"/>
      <c r="G136" s="18"/>
      <c r="H136" s="6"/>
      <c r="I136" s="9"/>
    </row>
    <row r="137" spans="1:9" ht="14.25" customHeight="1">
      <c r="A137" s="6"/>
      <c r="B137" s="30"/>
      <c r="C137" s="9"/>
      <c r="D137" s="6"/>
      <c r="E137" s="6"/>
      <c r="F137" s="6"/>
      <c r="G137" s="18"/>
      <c r="H137" s="6"/>
      <c r="I137" s="9"/>
    </row>
    <row r="138" spans="1:9" ht="14.25" customHeight="1">
      <c r="A138" s="6"/>
      <c r="B138" s="30"/>
      <c r="C138" s="9"/>
      <c r="D138" s="6"/>
      <c r="E138" s="6"/>
      <c r="F138" s="6"/>
      <c r="G138" s="18"/>
      <c r="H138" s="6"/>
      <c r="I138" s="9"/>
    </row>
    <row r="139" spans="1:9" ht="14.25" customHeight="1">
      <c r="A139" s="6"/>
      <c r="B139" s="30"/>
      <c r="C139" s="9"/>
      <c r="D139" s="6"/>
      <c r="E139" s="6"/>
      <c r="F139" s="6"/>
      <c r="G139" s="18"/>
      <c r="H139" s="6"/>
      <c r="I139" s="9"/>
    </row>
    <row r="140" spans="1:9" ht="14.25" customHeight="1">
      <c r="A140" s="6"/>
      <c r="B140" s="30"/>
      <c r="C140" s="9"/>
      <c r="D140" s="6"/>
      <c r="E140" s="6"/>
      <c r="F140" s="6"/>
      <c r="G140" s="18"/>
      <c r="H140" s="6"/>
      <c r="I140" s="9"/>
    </row>
    <row r="141" spans="1:9" ht="14.25" customHeight="1">
      <c r="A141" s="6"/>
      <c r="B141" s="30"/>
      <c r="C141" s="9"/>
      <c r="D141" s="6"/>
      <c r="E141" s="6"/>
      <c r="F141" s="6"/>
      <c r="G141" s="18"/>
      <c r="H141" s="6"/>
      <c r="I141" s="9"/>
    </row>
    <row r="142" spans="1:9" ht="14.25" customHeight="1">
      <c r="A142" s="6"/>
      <c r="B142" s="30"/>
      <c r="C142" s="9"/>
      <c r="D142" s="6"/>
      <c r="E142" s="6"/>
      <c r="F142" s="6"/>
      <c r="G142" s="18"/>
      <c r="H142" s="6"/>
      <c r="I142" s="9"/>
    </row>
    <row r="143" spans="1:9" ht="14.25" customHeight="1">
      <c r="A143" s="6"/>
      <c r="B143" s="30"/>
      <c r="C143" s="9"/>
      <c r="D143" s="6"/>
      <c r="E143" s="6"/>
      <c r="F143" s="6"/>
      <c r="G143" s="18"/>
      <c r="H143" s="6"/>
      <c r="I143" s="9"/>
    </row>
    <row r="144" spans="1:9" ht="14.25" customHeight="1">
      <c r="A144" s="6"/>
      <c r="B144" s="30"/>
      <c r="C144" s="9"/>
      <c r="D144" s="6"/>
      <c r="E144" s="6"/>
      <c r="F144" s="6"/>
      <c r="G144" s="18"/>
      <c r="H144" s="6"/>
      <c r="I144" s="9"/>
    </row>
    <row r="145" spans="1:9" ht="14.25" customHeight="1">
      <c r="A145" s="6"/>
      <c r="B145" s="30"/>
      <c r="C145" s="9"/>
      <c r="D145" s="6"/>
      <c r="E145" s="6"/>
      <c r="F145" s="6"/>
      <c r="G145" s="18"/>
      <c r="H145" s="6"/>
      <c r="I145" s="9"/>
    </row>
    <row r="146" spans="1:9" ht="14.25" customHeight="1">
      <c r="A146" s="6"/>
      <c r="B146" s="30"/>
      <c r="C146" s="9"/>
      <c r="D146" s="6"/>
      <c r="E146" s="6"/>
      <c r="F146" s="6"/>
      <c r="G146" s="18"/>
      <c r="H146" s="6"/>
      <c r="I146" s="9"/>
    </row>
    <row r="147" spans="1:9" ht="14.25" customHeight="1">
      <c r="A147" s="6"/>
      <c r="B147" s="30"/>
      <c r="C147" s="9"/>
      <c r="D147" s="6"/>
      <c r="E147" s="6"/>
      <c r="F147" s="6"/>
      <c r="G147" s="18"/>
      <c r="H147" s="6"/>
      <c r="I147" s="9"/>
    </row>
    <row r="148" spans="1:9" ht="14.25" customHeight="1">
      <c r="A148" s="6"/>
      <c r="B148" s="30"/>
      <c r="C148" s="9"/>
      <c r="D148" s="6"/>
      <c r="E148" s="6"/>
      <c r="F148" s="6"/>
      <c r="G148" s="18"/>
      <c r="H148" s="6"/>
      <c r="I148" s="9"/>
    </row>
    <row r="149" spans="1:9" ht="14.25" customHeight="1">
      <c r="A149" s="6"/>
      <c r="B149" s="30"/>
      <c r="C149" s="9"/>
      <c r="D149" s="6"/>
      <c r="E149" s="6"/>
      <c r="F149" s="6"/>
      <c r="G149" s="18"/>
      <c r="H149" s="6"/>
      <c r="I149" s="9"/>
    </row>
    <row r="150" spans="1:9" ht="14.25" customHeight="1">
      <c r="A150" s="6"/>
      <c r="B150" s="30"/>
      <c r="C150" s="9"/>
      <c r="D150" s="6"/>
      <c r="E150" s="6"/>
      <c r="F150" s="6"/>
      <c r="G150" s="18"/>
      <c r="H150" s="6"/>
      <c r="I150" s="9"/>
    </row>
    <row r="151" spans="1:9" ht="14.25" customHeight="1">
      <c r="A151" s="6"/>
      <c r="B151" s="30"/>
      <c r="C151" s="9"/>
      <c r="D151" s="6"/>
      <c r="E151" s="6"/>
      <c r="F151" s="6"/>
      <c r="G151" s="18"/>
      <c r="H151" s="6"/>
      <c r="I151" s="9"/>
    </row>
    <row r="152" spans="1:9" ht="14.25" customHeight="1">
      <c r="A152" s="6"/>
      <c r="B152" s="30"/>
      <c r="C152" s="9"/>
      <c r="D152" s="6"/>
      <c r="E152" s="6"/>
      <c r="F152" s="6"/>
      <c r="G152" s="18"/>
      <c r="H152" s="6"/>
      <c r="I152" s="9"/>
    </row>
    <row r="153" spans="1:9" ht="14.25" customHeight="1">
      <c r="A153" s="6"/>
      <c r="B153" s="30"/>
      <c r="C153" s="9"/>
      <c r="D153" s="6"/>
      <c r="E153" s="6"/>
      <c r="F153" s="6"/>
      <c r="G153" s="18"/>
      <c r="H153" s="6"/>
      <c r="I153" s="9"/>
    </row>
    <row r="154" spans="1:9" ht="14.25" customHeight="1">
      <c r="A154" s="6"/>
      <c r="B154" s="30"/>
      <c r="C154" s="9"/>
      <c r="D154" s="6"/>
      <c r="E154" s="6"/>
      <c r="F154" s="6"/>
      <c r="G154" s="18"/>
      <c r="H154" s="6"/>
      <c r="I154" s="9"/>
    </row>
    <row r="155" spans="1:9" ht="14.25" customHeight="1">
      <c r="A155" s="6"/>
      <c r="B155" s="30"/>
      <c r="C155" s="9"/>
      <c r="D155" s="6"/>
      <c r="E155" s="6"/>
      <c r="F155" s="6"/>
      <c r="G155" s="18"/>
      <c r="H155" s="6"/>
      <c r="I155" s="9"/>
    </row>
    <row r="156" spans="1:9" ht="14.25" customHeight="1">
      <c r="A156" s="6"/>
      <c r="B156" s="30"/>
      <c r="C156" s="9"/>
      <c r="D156" s="6"/>
      <c r="E156" s="6"/>
      <c r="F156" s="6"/>
      <c r="G156" s="18"/>
      <c r="H156" s="6"/>
      <c r="I156" s="9"/>
    </row>
    <row r="157" spans="1:9" ht="14.25" customHeight="1">
      <c r="A157" s="6"/>
      <c r="B157" s="30"/>
      <c r="C157" s="9"/>
      <c r="D157" s="6"/>
      <c r="E157" s="6"/>
      <c r="F157" s="6"/>
      <c r="G157" s="18"/>
      <c r="H157" s="6"/>
      <c r="I157" s="9"/>
    </row>
    <row r="158" spans="1:9" ht="14.25" customHeight="1">
      <c r="A158" s="6"/>
      <c r="B158" s="30"/>
      <c r="C158" s="9"/>
      <c r="D158" s="6"/>
      <c r="E158" s="6"/>
      <c r="F158" s="6"/>
      <c r="G158" s="18"/>
      <c r="H158" s="6"/>
      <c r="I158" s="9"/>
    </row>
    <row r="159" spans="1:9" ht="14.25" customHeight="1">
      <c r="A159" s="6"/>
      <c r="B159" s="30"/>
      <c r="C159" s="9"/>
      <c r="D159" s="6"/>
      <c r="E159" s="6"/>
      <c r="F159" s="6"/>
      <c r="G159" s="18"/>
      <c r="H159" s="6"/>
      <c r="I159" s="9"/>
    </row>
    <row r="160" spans="1:9" ht="14.25" customHeight="1">
      <c r="A160" s="6"/>
      <c r="B160" s="30"/>
      <c r="C160" s="9"/>
      <c r="D160" s="6"/>
      <c r="E160" s="6"/>
      <c r="F160" s="6"/>
      <c r="G160" s="18"/>
      <c r="H160" s="6"/>
      <c r="I160" s="9"/>
    </row>
    <row r="161" spans="1:9" ht="14.25" customHeight="1">
      <c r="A161" s="6"/>
      <c r="B161" s="30"/>
      <c r="C161" s="9"/>
      <c r="D161" s="6"/>
      <c r="E161" s="6"/>
      <c r="F161" s="6"/>
      <c r="G161" s="18"/>
      <c r="H161" s="6"/>
      <c r="I161" s="9"/>
    </row>
    <row r="162" spans="1:9" ht="14.25" customHeight="1">
      <c r="A162" s="6"/>
      <c r="B162" s="30"/>
      <c r="C162" s="9"/>
      <c r="D162" s="6"/>
      <c r="E162" s="6"/>
      <c r="F162" s="6"/>
      <c r="G162" s="18"/>
      <c r="H162" s="6"/>
      <c r="I162" s="9"/>
    </row>
    <row r="163" spans="1:9" ht="14.25" customHeight="1">
      <c r="A163" s="6"/>
      <c r="B163" s="30"/>
      <c r="C163" s="9"/>
      <c r="D163" s="6"/>
      <c r="E163" s="6"/>
      <c r="F163" s="6"/>
      <c r="G163" s="18"/>
      <c r="H163" s="6"/>
      <c r="I163" s="9"/>
    </row>
    <row r="164" spans="1:9" ht="14.25" customHeight="1">
      <c r="A164" s="6"/>
      <c r="B164" s="30"/>
      <c r="C164" s="9"/>
      <c r="D164" s="6"/>
      <c r="E164" s="6"/>
      <c r="F164" s="6"/>
      <c r="G164" s="18"/>
      <c r="H164" s="6"/>
      <c r="I164" s="9"/>
    </row>
    <row r="165" spans="1:9" ht="14.25" customHeight="1">
      <c r="A165" s="6"/>
      <c r="B165" s="30"/>
      <c r="C165" s="9"/>
      <c r="D165" s="6"/>
      <c r="E165" s="6"/>
      <c r="F165" s="6"/>
      <c r="G165" s="18"/>
      <c r="H165" s="6"/>
      <c r="I165" s="9"/>
    </row>
    <row r="166" spans="1:9" ht="14.25" customHeight="1">
      <c r="A166" s="6"/>
      <c r="B166" s="30"/>
      <c r="C166" s="9"/>
      <c r="D166" s="6"/>
      <c r="E166" s="6"/>
      <c r="F166" s="6"/>
      <c r="G166" s="18"/>
      <c r="H166" s="6"/>
      <c r="I166" s="9"/>
    </row>
    <row r="167" spans="1:9" ht="14.25" customHeight="1">
      <c r="A167" s="6"/>
      <c r="B167" s="30"/>
      <c r="C167" s="9"/>
      <c r="D167" s="6"/>
      <c r="E167" s="6"/>
      <c r="F167" s="6"/>
      <c r="G167" s="18"/>
      <c r="H167" s="6"/>
      <c r="I167" s="9"/>
    </row>
    <row r="168" spans="1:9" ht="14.25" customHeight="1">
      <c r="A168" s="6"/>
      <c r="B168" s="30"/>
      <c r="C168" s="9"/>
      <c r="D168" s="6"/>
      <c r="E168" s="6"/>
      <c r="F168" s="6"/>
      <c r="G168" s="18"/>
      <c r="H168" s="6"/>
      <c r="I168" s="9"/>
    </row>
    <row r="169" spans="1:9" ht="14.25" customHeight="1">
      <c r="A169" s="6"/>
      <c r="B169" s="30"/>
      <c r="C169" s="9"/>
      <c r="D169" s="6"/>
      <c r="E169" s="6"/>
      <c r="F169" s="6"/>
      <c r="G169" s="18"/>
      <c r="H169" s="6"/>
      <c r="I169" s="9"/>
    </row>
    <row r="170" spans="1:9" ht="14.25" customHeight="1">
      <c r="A170" s="6"/>
      <c r="B170" s="30"/>
      <c r="C170" s="9"/>
      <c r="D170" s="6"/>
      <c r="E170" s="6"/>
      <c r="F170" s="6"/>
      <c r="G170" s="18"/>
      <c r="H170" s="6"/>
      <c r="I170" s="9"/>
    </row>
    <row r="171" spans="1:9" ht="14.25" customHeight="1">
      <c r="A171" s="6"/>
      <c r="B171" s="30"/>
      <c r="C171" s="9"/>
      <c r="D171" s="6"/>
      <c r="E171" s="6"/>
      <c r="F171" s="6"/>
      <c r="G171" s="18"/>
      <c r="H171" s="6"/>
      <c r="I171" s="9"/>
    </row>
    <row r="172" spans="1:9" ht="14.25" customHeight="1">
      <c r="A172" s="6"/>
      <c r="B172" s="6"/>
      <c r="C172" s="9"/>
      <c r="D172" s="6"/>
      <c r="E172" s="6"/>
      <c r="F172" s="6"/>
      <c r="G172" s="18"/>
      <c r="H172" s="6"/>
      <c r="I172" s="9"/>
    </row>
    <row r="173" spans="1:9" ht="14.25" customHeight="1">
      <c r="A173" s="6"/>
      <c r="B173" s="6"/>
      <c r="C173" s="9"/>
      <c r="D173" s="6"/>
      <c r="E173" s="6"/>
      <c r="F173" s="6"/>
      <c r="G173" s="18"/>
      <c r="H173" s="6"/>
      <c r="I173" s="9"/>
    </row>
    <row r="174" spans="1:9" ht="14.25" customHeight="1">
      <c r="A174" s="6"/>
      <c r="B174" s="6"/>
      <c r="C174" s="9"/>
      <c r="D174" s="6"/>
      <c r="E174" s="6"/>
      <c r="F174" s="6"/>
      <c r="G174" s="18"/>
      <c r="H174" s="6"/>
      <c r="I174" s="9"/>
    </row>
    <row r="175" spans="1:9" ht="14.25" customHeight="1">
      <c r="A175" s="6"/>
      <c r="B175" s="6"/>
      <c r="C175" s="9"/>
      <c r="D175" s="6"/>
      <c r="E175" s="6"/>
      <c r="F175" s="6"/>
      <c r="G175" s="18"/>
      <c r="H175" s="6"/>
      <c r="I175" s="9"/>
    </row>
    <row r="176" spans="1:9" ht="14.25" customHeight="1">
      <c r="A176" s="6"/>
      <c r="B176" s="6"/>
      <c r="C176" s="9"/>
      <c r="D176" s="6"/>
      <c r="E176" s="6"/>
      <c r="F176" s="6"/>
      <c r="G176" s="18"/>
      <c r="H176" s="6"/>
      <c r="I176" s="9"/>
    </row>
    <row r="177" spans="1:9" ht="14.25" customHeight="1">
      <c r="A177" s="6"/>
      <c r="B177" s="6"/>
      <c r="C177" s="9"/>
      <c r="D177" s="6"/>
      <c r="E177" s="6"/>
      <c r="F177" s="6"/>
      <c r="G177" s="18"/>
      <c r="H177" s="6"/>
      <c r="I177" s="9"/>
    </row>
    <row r="178" spans="1:9" ht="14.25" customHeight="1">
      <c r="A178" s="6"/>
      <c r="B178" s="6"/>
      <c r="C178" s="9"/>
      <c r="D178" s="6"/>
      <c r="E178" s="6"/>
      <c r="F178" s="6"/>
      <c r="G178" s="18"/>
      <c r="H178" s="6"/>
      <c r="I178" s="9"/>
    </row>
    <row r="179" spans="1:9" ht="14.25" customHeight="1">
      <c r="A179" s="6"/>
      <c r="B179" s="6"/>
      <c r="C179" s="9"/>
      <c r="D179" s="6"/>
      <c r="E179" s="6"/>
      <c r="F179" s="6"/>
      <c r="G179" s="18"/>
      <c r="H179" s="6"/>
      <c r="I179" s="9"/>
    </row>
    <row r="180" spans="1:9" ht="14.25" customHeight="1">
      <c r="A180" s="6"/>
      <c r="B180" s="6"/>
      <c r="C180" s="9"/>
      <c r="D180" s="6"/>
      <c r="E180" s="6"/>
      <c r="F180" s="6"/>
      <c r="G180" s="18"/>
      <c r="H180" s="6"/>
      <c r="I180" s="9"/>
    </row>
    <row r="181" spans="1:9" ht="14.25" customHeight="1">
      <c r="A181" s="6"/>
      <c r="B181" s="6"/>
      <c r="C181" s="9"/>
      <c r="D181" s="6"/>
      <c r="E181" s="6"/>
      <c r="F181" s="6"/>
      <c r="G181" s="18"/>
      <c r="H181" s="6"/>
      <c r="I181" s="9"/>
    </row>
    <row r="182" spans="1:9" ht="14.25" customHeight="1">
      <c r="A182" s="6"/>
      <c r="B182" s="6"/>
      <c r="C182" s="9"/>
      <c r="D182" s="6"/>
      <c r="E182" s="6"/>
      <c r="F182" s="6"/>
      <c r="G182" s="18"/>
      <c r="H182" s="6"/>
      <c r="I182" s="9"/>
    </row>
    <row r="183" spans="1:9" ht="14.25" customHeight="1">
      <c r="A183" s="6"/>
      <c r="B183" s="6"/>
      <c r="C183" s="9"/>
      <c r="D183" s="6"/>
      <c r="E183" s="6"/>
      <c r="F183" s="6"/>
      <c r="G183" s="18"/>
      <c r="H183" s="6"/>
      <c r="I183" s="9"/>
    </row>
    <row r="184" spans="1:9" ht="14.25" customHeight="1">
      <c r="A184" s="6"/>
      <c r="B184" s="6"/>
      <c r="C184" s="9"/>
      <c r="D184" s="6"/>
      <c r="E184" s="6"/>
      <c r="F184" s="6"/>
      <c r="G184" s="18"/>
      <c r="H184" s="6"/>
      <c r="I184" s="9"/>
    </row>
    <row r="185" spans="1:9" ht="14.25" customHeight="1">
      <c r="A185" s="6"/>
      <c r="B185" s="6"/>
      <c r="C185" s="9"/>
      <c r="D185" s="6"/>
      <c r="E185" s="6"/>
      <c r="F185" s="6"/>
      <c r="G185" s="18"/>
      <c r="H185" s="6"/>
      <c r="I185" s="9"/>
    </row>
    <row r="186" spans="1:9" ht="14.25" customHeight="1">
      <c r="A186" s="6"/>
      <c r="B186" s="6"/>
      <c r="C186" s="9"/>
      <c r="D186" s="6"/>
      <c r="E186" s="6"/>
      <c r="F186" s="6"/>
      <c r="G186" s="18"/>
      <c r="H186" s="6"/>
      <c r="I186" s="9"/>
    </row>
    <row r="187" spans="1:9" ht="14.25" customHeight="1">
      <c r="A187" s="6"/>
      <c r="B187" s="6"/>
      <c r="C187" s="9"/>
      <c r="D187" s="6"/>
      <c r="E187" s="6"/>
      <c r="F187" s="6"/>
      <c r="G187" s="18"/>
      <c r="H187" s="6"/>
      <c r="I187" s="9"/>
    </row>
    <row r="188" spans="1:9" ht="14.25" customHeight="1">
      <c r="A188" s="6"/>
      <c r="B188" s="6"/>
      <c r="C188" s="9"/>
      <c r="D188" s="6"/>
      <c r="E188" s="6"/>
      <c r="F188" s="6"/>
      <c r="G188" s="18"/>
      <c r="H188" s="6"/>
      <c r="I188" s="9"/>
    </row>
    <row r="189" spans="1:9" ht="14.25" customHeight="1">
      <c r="A189" s="6"/>
      <c r="B189" s="6"/>
      <c r="C189" s="9"/>
      <c r="D189" s="6"/>
      <c r="E189" s="6"/>
      <c r="F189" s="6"/>
      <c r="G189" s="18"/>
      <c r="H189" s="6"/>
      <c r="I189" s="9"/>
    </row>
    <row r="190" spans="1:9" ht="14.25" customHeight="1">
      <c r="A190" s="6"/>
      <c r="B190" s="6"/>
      <c r="C190" s="9"/>
      <c r="D190" s="6"/>
      <c r="E190" s="6"/>
      <c r="F190" s="6"/>
      <c r="G190" s="18"/>
      <c r="H190" s="6"/>
      <c r="I190" s="9"/>
    </row>
    <row r="191" spans="1:9" ht="14.25" customHeight="1">
      <c r="A191" s="6"/>
      <c r="B191" s="6"/>
      <c r="C191" s="9"/>
      <c r="D191" s="6"/>
      <c r="E191" s="6"/>
      <c r="F191" s="6"/>
      <c r="G191" s="18"/>
      <c r="H191" s="6"/>
      <c r="I191" s="9"/>
    </row>
    <row r="192" spans="1:9" ht="14.25" customHeight="1">
      <c r="A192" s="6"/>
      <c r="B192" s="6"/>
      <c r="C192" s="9"/>
      <c r="D192" s="6"/>
      <c r="E192" s="6"/>
      <c r="F192" s="6"/>
      <c r="G192" s="18"/>
      <c r="H192" s="6"/>
      <c r="I192" s="9"/>
    </row>
    <row r="193" spans="1:9" ht="14.25" customHeight="1">
      <c r="A193" s="6"/>
      <c r="B193" s="6"/>
      <c r="C193" s="9"/>
      <c r="D193" s="6"/>
      <c r="E193" s="6"/>
      <c r="F193" s="6"/>
      <c r="G193" s="18"/>
      <c r="H193" s="6"/>
      <c r="I193" s="9"/>
    </row>
    <row r="194" spans="1:9" ht="14.25" customHeight="1">
      <c r="A194" s="6"/>
      <c r="B194" s="6"/>
      <c r="C194" s="9"/>
      <c r="D194" s="6"/>
      <c r="E194" s="6"/>
      <c r="F194" s="6"/>
      <c r="G194" s="18"/>
      <c r="H194" s="6"/>
      <c r="I194" s="9"/>
    </row>
    <row r="195" spans="1:9" ht="14.25" customHeight="1">
      <c r="A195" s="6"/>
      <c r="B195" s="6"/>
      <c r="C195" s="9"/>
      <c r="D195" s="6"/>
      <c r="E195" s="6"/>
      <c r="F195" s="6"/>
      <c r="G195" s="18"/>
      <c r="H195" s="6"/>
      <c r="I195" s="9"/>
    </row>
    <row r="196" spans="1:9" ht="14.25" customHeight="1">
      <c r="A196" s="6"/>
      <c r="B196" s="6"/>
      <c r="C196" s="9"/>
      <c r="D196" s="6"/>
      <c r="E196" s="6"/>
      <c r="F196" s="6"/>
      <c r="G196" s="18"/>
      <c r="H196" s="6"/>
      <c r="I196" s="9"/>
    </row>
    <row r="197" spans="1:9" ht="14.25" customHeight="1">
      <c r="A197" s="6"/>
      <c r="B197" s="6"/>
      <c r="C197" s="9"/>
      <c r="D197" s="6"/>
      <c r="E197" s="6"/>
      <c r="F197" s="6"/>
      <c r="G197" s="18"/>
      <c r="H197" s="6"/>
      <c r="I197" s="9"/>
    </row>
    <row r="198" spans="1:9" ht="14.25" customHeight="1">
      <c r="A198" s="6"/>
      <c r="B198" s="6"/>
      <c r="C198" s="9"/>
      <c r="D198" s="6"/>
      <c r="E198" s="6"/>
      <c r="F198" s="6"/>
      <c r="G198" s="18"/>
      <c r="H198" s="6"/>
      <c r="I198" s="9"/>
    </row>
    <row r="199" spans="1:9" ht="14.25" customHeight="1">
      <c r="A199" s="6"/>
      <c r="B199" s="6"/>
      <c r="C199" s="9"/>
      <c r="D199" s="6"/>
      <c r="E199" s="6"/>
      <c r="F199" s="6"/>
      <c r="G199" s="18"/>
      <c r="H199" s="6"/>
      <c r="I199" s="9"/>
    </row>
    <row r="200" spans="1:9" ht="14.25" customHeight="1">
      <c r="A200" s="6"/>
      <c r="B200" s="6"/>
      <c r="C200" s="9"/>
      <c r="D200" s="6"/>
      <c r="E200" s="6"/>
      <c r="F200" s="6"/>
      <c r="G200" s="18"/>
      <c r="H200" s="6"/>
      <c r="I200" s="9"/>
    </row>
    <row r="201" spans="1:9" ht="14.25" customHeight="1">
      <c r="A201" s="6"/>
      <c r="B201" s="6"/>
      <c r="C201" s="9"/>
      <c r="D201" s="6"/>
      <c r="E201" s="6"/>
      <c r="F201" s="6"/>
      <c r="G201" s="18"/>
      <c r="H201" s="6"/>
      <c r="I201" s="9"/>
    </row>
    <row r="202" spans="1:9" ht="14.25" customHeight="1">
      <c r="A202" s="6"/>
      <c r="B202" s="6"/>
      <c r="C202" s="9"/>
      <c r="D202" s="6"/>
      <c r="E202" s="6"/>
      <c r="F202" s="6"/>
      <c r="G202" s="18"/>
      <c r="H202" s="6"/>
      <c r="I202" s="9"/>
    </row>
    <row r="203" spans="1:9" ht="14.25" customHeight="1">
      <c r="A203" s="6"/>
      <c r="B203" s="6"/>
      <c r="C203" s="9"/>
      <c r="D203" s="6"/>
      <c r="E203" s="6"/>
      <c r="F203" s="6"/>
      <c r="G203" s="18"/>
      <c r="H203" s="6"/>
      <c r="I203" s="9"/>
    </row>
    <row r="204" spans="1:9" ht="14.25" customHeight="1">
      <c r="A204" s="6"/>
      <c r="B204" s="6"/>
      <c r="C204" s="9"/>
      <c r="D204" s="6"/>
      <c r="E204" s="6"/>
      <c r="F204" s="6"/>
      <c r="G204" s="18"/>
      <c r="H204" s="6"/>
      <c r="I204" s="9"/>
    </row>
    <row r="205" spans="1:9" ht="14.25" customHeight="1">
      <c r="A205" s="6"/>
      <c r="B205" s="6"/>
      <c r="C205" s="9"/>
      <c r="D205" s="6"/>
      <c r="E205" s="6"/>
      <c r="F205" s="6"/>
      <c r="G205" s="18"/>
      <c r="H205" s="6"/>
      <c r="I205" s="9"/>
    </row>
    <row r="206" spans="1:9" ht="14.25" customHeight="1">
      <c r="A206" s="6"/>
      <c r="B206" s="6"/>
      <c r="C206" s="9"/>
      <c r="D206" s="6"/>
      <c r="E206" s="6"/>
      <c r="F206" s="6"/>
      <c r="G206" s="18"/>
      <c r="H206" s="6"/>
      <c r="I206" s="9"/>
    </row>
    <row r="207" spans="1:9" ht="14.25" customHeight="1">
      <c r="A207" s="6"/>
      <c r="B207" s="6"/>
      <c r="C207" s="9"/>
      <c r="D207" s="6"/>
      <c r="E207" s="6"/>
      <c r="F207" s="6"/>
      <c r="G207" s="18"/>
      <c r="H207" s="6"/>
      <c r="I207" s="9"/>
    </row>
    <row r="208" spans="1:9" ht="14.25" customHeight="1">
      <c r="A208" s="6"/>
      <c r="B208" s="6"/>
      <c r="C208" s="9"/>
      <c r="D208" s="6"/>
      <c r="E208" s="6"/>
      <c r="F208" s="6"/>
      <c r="G208" s="18"/>
      <c r="H208" s="6"/>
      <c r="I208" s="9"/>
    </row>
    <row r="209" spans="1:9" ht="14.25" customHeight="1">
      <c r="A209" s="6"/>
      <c r="B209" s="6"/>
      <c r="C209" s="9"/>
      <c r="D209" s="6"/>
      <c r="E209" s="6"/>
      <c r="F209" s="6"/>
      <c r="G209" s="18"/>
      <c r="H209" s="6"/>
      <c r="I209" s="9"/>
    </row>
    <row r="210" spans="1:9" ht="14.25" customHeight="1">
      <c r="A210" s="6"/>
      <c r="B210" s="6"/>
      <c r="C210" s="9"/>
      <c r="D210" s="6"/>
      <c r="E210" s="6"/>
      <c r="F210" s="6"/>
      <c r="G210" s="18"/>
      <c r="H210" s="6"/>
      <c r="I210" s="9"/>
    </row>
    <row r="211" spans="1:9" ht="14.25" customHeight="1">
      <c r="A211" s="6"/>
      <c r="B211" s="6"/>
      <c r="C211" s="9"/>
      <c r="D211" s="6"/>
      <c r="E211" s="6"/>
      <c r="F211" s="6"/>
      <c r="G211" s="18"/>
      <c r="H211" s="6"/>
      <c r="I211" s="9"/>
    </row>
    <row r="212" spans="1:9" ht="14.25" customHeight="1">
      <c r="A212" s="6"/>
      <c r="B212" s="6"/>
      <c r="C212" s="9"/>
      <c r="D212" s="6"/>
      <c r="E212" s="6"/>
      <c r="F212" s="6"/>
      <c r="G212" s="18"/>
      <c r="H212" s="6"/>
      <c r="I212" s="9"/>
    </row>
    <row r="213" spans="1:9" ht="14.25" customHeight="1">
      <c r="A213" s="6"/>
      <c r="B213" s="6"/>
      <c r="C213" s="9"/>
      <c r="D213" s="6"/>
      <c r="E213" s="6"/>
      <c r="F213" s="6"/>
      <c r="G213" s="18"/>
      <c r="H213" s="6"/>
      <c r="I213" s="9"/>
    </row>
    <row r="214" spans="1:9" ht="14.25" customHeight="1">
      <c r="A214" s="6"/>
      <c r="B214" s="6"/>
      <c r="C214" s="9"/>
      <c r="D214" s="6"/>
      <c r="E214" s="6"/>
      <c r="F214" s="6"/>
      <c r="G214" s="18"/>
      <c r="H214" s="6"/>
      <c r="I214" s="9"/>
    </row>
    <row r="215" spans="1:9" ht="14.25" customHeight="1">
      <c r="A215" s="6"/>
      <c r="B215" s="6"/>
      <c r="C215" s="9"/>
      <c r="D215" s="6"/>
      <c r="E215" s="6"/>
      <c r="F215" s="6"/>
      <c r="G215" s="18"/>
      <c r="H215" s="6"/>
      <c r="I215" s="9"/>
    </row>
    <row r="216" spans="1:9" ht="14.25" customHeight="1">
      <c r="A216" s="6"/>
      <c r="B216" s="6"/>
      <c r="C216" s="9"/>
      <c r="D216" s="6"/>
      <c r="E216" s="6"/>
      <c r="F216" s="6"/>
      <c r="G216" s="18"/>
      <c r="H216" s="6"/>
      <c r="I216" s="9"/>
    </row>
    <row r="217" spans="1:9" ht="14.25" customHeight="1">
      <c r="A217" s="6"/>
      <c r="B217" s="6"/>
      <c r="C217" s="9"/>
      <c r="D217" s="6"/>
      <c r="E217" s="6"/>
      <c r="F217" s="6"/>
      <c r="G217" s="18"/>
      <c r="H217" s="6"/>
      <c r="I217" s="9"/>
    </row>
    <row r="218" spans="1:9" ht="14.25" customHeight="1">
      <c r="A218" s="6"/>
      <c r="B218" s="6"/>
      <c r="C218" s="9"/>
      <c r="D218" s="6"/>
      <c r="E218" s="6"/>
      <c r="F218" s="6"/>
      <c r="G218" s="18"/>
      <c r="H218" s="6"/>
      <c r="I218" s="9"/>
    </row>
    <row r="219" spans="1:9" ht="14.25" customHeight="1">
      <c r="A219" s="6"/>
      <c r="B219" s="6"/>
      <c r="C219" s="9"/>
      <c r="D219" s="6"/>
      <c r="E219" s="6"/>
      <c r="F219" s="6"/>
      <c r="G219" s="18"/>
      <c r="H219" s="6"/>
      <c r="I219" s="9"/>
    </row>
    <row r="220" spans="1:9" ht="14.25" customHeight="1">
      <c r="A220" s="6"/>
      <c r="B220" s="6"/>
      <c r="C220" s="9"/>
      <c r="D220" s="6"/>
      <c r="E220" s="6"/>
      <c r="F220" s="6"/>
      <c r="G220" s="18"/>
      <c r="H220" s="6"/>
      <c r="I220" s="9"/>
    </row>
    <row r="221" spans="1:9" ht="14.25" customHeight="1">
      <c r="A221" s="6"/>
      <c r="B221" s="6"/>
      <c r="C221" s="9"/>
      <c r="D221" s="6"/>
      <c r="E221" s="6"/>
      <c r="F221" s="6"/>
      <c r="G221" s="18"/>
      <c r="H221" s="6"/>
      <c r="I221" s="9"/>
    </row>
    <row r="222" spans="1:9" ht="14.25" customHeight="1">
      <c r="A222" s="6"/>
      <c r="B222" s="6"/>
      <c r="C222" s="9"/>
      <c r="D222" s="6"/>
      <c r="E222" s="6"/>
      <c r="F222" s="6"/>
      <c r="G222" s="18"/>
      <c r="H222" s="6"/>
      <c r="I222" s="9"/>
    </row>
    <row r="223" spans="1:9" ht="14.25" customHeight="1">
      <c r="A223" s="6"/>
      <c r="B223" s="6"/>
      <c r="C223" s="9"/>
      <c r="D223" s="6"/>
      <c r="E223" s="6"/>
      <c r="F223" s="6"/>
      <c r="G223" s="18"/>
      <c r="H223" s="6"/>
      <c r="I223" s="9"/>
    </row>
    <row r="224" spans="1:9" ht="14.25" customHeight="1">
      <c r="A224" s="6"/>
      <c r="B224" s="6"/>
      <c r="C224" s="9"/>
      <c r="D224" s="6"/>
      <c r="E224" s="6"/>
      <c r="F224" s="6"/>
      <c r="G224" s="18"/>
      <c r="H224" s="6"/>
      <c r="I224" s="9"/>
    </row>
    <row r="225" spans="1:9" ht="14.25" customHeight="1">
      <c r="A225" s="6"/>
      <c r="B225" s="6"/>
      <c r="C225" s="9"/>
      <c r="D225" s="6"/>
      <c r="E225" s="6"/>
      <c r="F225" s="6"/>
      <c r="G225" s="18"/>
      <c r="H225" s="6"/>
      <c r="I225" s="9"/>
    </row>
    <row r="226" spans="1:9" ht="14.25" customHeight="1">
      <c r="A226" s="6"/>
      <c r="B226" s="6"/>
      <c r="C226" s="9"/>
      <c r="D226" s="6"/>
      <c r="E226" s="6"/>
      <c r="F226" s="6"/>
      <c r="G226" s="18"/>
      <c r="H226" s="6"/>
      <c r="I226" s="9"/>
    </row>
    <row r="227" spans="1:9" ht="14.25" customHeight="1">
      <c r="A227" s="6"/>
      <c r="B227" s="6"/>
      <c r="C227" s="9"/>
      <c r="D227" s="6"/>
      <c r="E227" s="6"/>
      <c r="F227" s="6"/>
      <c r="G227" s="18"/>
      <c r="H227" s="6"/>
      <c r="I227" s="9"/>
    </row>
    <row r="228" spans="1:9" ht="14.25" customHeight="1">
      <c r="A228" s="6"/>
      <c r="B228" s="6"/>
      <c r="C228" s="9"/>
      <c r="D228" s="6"/>
      <c r="E228" s="6"/>
      <c r="F228" s="6"/>
      <c r="G228" s="18"/>
      <c r="H228" s="6"/>
      <c r="I228" s="9"/>
    </row>
    <row r="229" spans="1:9" ht="14.25" customHeight="1">
      <c r="A229" s="6"/>
      <c r="B229" s="6"/>
      <c r="C229" s="9"/>
      <c r="D229" s="6"/>
      <c r="E229" s="6"/>
      <c r="F229" s="6"/>
      <c r="G229" s="18"/>
      <c r="H229" s="6"/>
      <c r="I229" s="9"/>
    </row>
    <row r="230" spans="1:9" ht="14.25" customHeight="1">
      <c r="A230" s="6"/>
      <c r="B230" s="6"/>
      <c r="C230" s="9"/>
      <c r="D230" s="6"/>
      <c r="E230" s="6"/>
      <c r="F230" s="6"/>
      <c r="G230" s="18"/>
      <c r="H230" s="6"/>
      <c r="I230" s="9"/>
    </row>
    <row r="231" spans="1:9" ht="14.25" customHeight="1">
      <c r="A231" s="6"/>
      <c r="B231" s="6"/>
      <c r="C231" s="9"/>
      <c r="D231" s="6"/>
      <c r="E231" s="6"/>
      <c r="F231" s="6"/>
      <c r="G231" s="18"/>
      <c r="H231" s="6"/>
      <c r="I231" s="9"/>
    </row>
    <row r="232" spans="1:9" ht="14.25" customHeight="1">
      <c r="A232" s="6"/>
      <c r="B232" s="6"/>
      <c r="C232" s="9"/>
      <c r="D232" s="6"/>
      <c r="E232" s="6"/>
      <c r="F232" s="6"/>
      <c r="G232" s="18"/>
      <c r="H232" s="6"/>
      <c r="I232" s="9"/>
    </row>
    <row r="233" spans="1:9" ht="14.25" customHeight="1">
      <c r="A233" s="6"/>
      <c r="B233" s="6"/>
      <c r="C233" s="9"/>
      <c r="D233" s="6"/>
      <c r="E233" s="6"/>
      <c r="F233" s="6"/>
      <c r="G233" s="18"/>
      <c r="H233" s="6"/>
      <c r="I233" s="9"/>
    </row>
    <row r="234" spans="1:9" ht="14.25" customHeight="1">
      <c r="A234" s="6"/>
      <c r="B234" s="6"/>
      <c r="C234" s="9"/>
      <c r="D234" s="6"/>
      <c r="E234" s="6"/>
      <c r="F234" s="6"/>
      <c r="G234" s="18"/>
      <c r="H234" s="6"/>
      <c r="I234" s="9"/>
    </row>
    <row r="235" spans="1:9" ht="14.25" customHeight="1">
      <c r="A235" s="6"/>
      <c r="B235" s="6"/>
      <c r="C235" s="9"/>
      <c r="D235" s="6"/>
      <c r="E235" s="6"/>
      <c r="F235" s="6"/>
      <c r="G235" s="18"/>
      <c r="H235" s="6"/>
      <c r="I235" s="9"/>
    </row>
    <row r="236" spans="1:9" ht="14.25" customHeight="1">
      <c r="A236" s="6"/>
      <c r="B236" s="6"/>
      <c r="C236" s="9"/>
      <c r="D236" s="6"/>
      <c r="E236" s="6"/>
      <c r="F236" s="6"/>
      <c r="G236" s="18"/>
      <c r="H236" s="6"/>
      <c r="I236" s="9"/>
    </row>
    <row r="237" spans="1:9" ht="14.25" customHeight="1">
      <c r="A237" s="6"/>
      <c r="B237" s="6"/>
      <c r="C237" s="9"/>
      <c r="D237" s="6"/>
      <c r="E237" s="6"/>
      <c r="F237" s="6"/>
      <c r="G237" s="18"/>
      <c r="H237" s="6"/>
      <c r="I237" s="9"/>
    </row>
    <row r="238" spans="1:9" ht="14.25" customHeight="1">
      <c r="A238" s="6"/>
      <c r="B238" s="6"/>
      <c r="C238" s="9"/>
      <c r="D238" s="6"/>
      <c r="E238" s="6"/>
      <c r="F238" s="6"/>
      <c r="G238" s="18"/>
      <c r="H238" s="6"/>
      <c r="I238" s="9"/>
    </row>
    <row r="239" spans="1:9" ht="14.25" customHeight="1">
      <c r="A239" s="6"/>
      <c r="B239" s="6"/>
      <c r="C239" s="9"/>
      <c r="D239" s="6"/>
      <c r="E239" s="6"/>
      <c r="F239" s="6"/>
      <c r="G239" s="18"/>
      <c r="H239" s="6"/>
      <c r="I239" s="9"/>
    </row>
    <row r="240" spans="1:9" ht="14.25" customHeight="1">
      <c r="A240" s="6"/>
      <c r="B240" s="6"/>
      <c r="C240" s="9"/>
      <c r="D240" s="6"/>
      <c r="E240" s="6"/>
      <c r="F240" s="6"/>
      <c r="G240" s="18"/>
      <c r="H240" s="6"/>
      <c r="I240" s="9"/>
    </row>
    <row r="241" spans="1:9" ht="14.25" customHeight="1">
      <c r="A241" s="6"/>
      <c r="B241" s="6"/>
      <c r="C241" s="9"/>
      <c r="D241" s="6"/>
      <c r="E241" s="6"/>
      <c r="F241" s="6"/>
      <c r="G241" s="18"/>
      <c r="H241" s="6"/>
      <c r="I241" s="9"/>
    </row>
    <row r="242" spans="1:9" ht="14.25" customHeight="1">
      <c r="A242" s="6"/>
      <c r="B242" s="6"/>
      <c r="C242" s="9"/>
      <c r="D242" s="6"/>
      <c r="E242" s="6"/>
      <c r="F242" s="6"/>
      <c r="G242" s="18"/>
      <c r="H242" s="6"/>
      <c r="I242" s="9"/>
    </row>
    <row r="243" spans="1:9" ht="14.25" customHeight="1">
      <c r="A243" s="6"/>
      <c r="B243" s="6"/>
      <c r="C243" s="9"/>
      <c r="D243" s="6"/>
      <c r="E243" s="6"/>
      <c r="F243" s="6"/>
      <c r="G243" s="18"/>
      <c r="H243" s="6"/>
      <c r="I243" s="9"/>
    </row>
    <row r="244" spans="1:9" ht="14.25" customHeight="1">
      <c r="A244" s="6"/>
      <c r="B244" s="6"/>
      <c r="C244" s="9"/>
      <c r="D244" s="6"/>
      <c r="E244" s="6"/>
      <c r="F244" s="6"/>
      <c r="G244" s="18"/>
      <c r="H244" s="6"/>
      <c r="I244" s="9"/>
    </row>
    <row r="245" spans="1:9" ht="14.25" customHeight="1">
      <c r="A245" s="6"/>
      <c r="B245" s="6"/>
      <c r="C245" s="9"/>
      <c r="D245" s="6"/>
      <c r="E245" s="6"/>
      <c r="F245" s="6"/>
      <c r="G245" s="18"/>
      <c r="H245" s="6"/>
      <c r="I245" s="9"/>
    </row>
    <row r="246" spans="1:9" ht="14.25" customHeight="1">
      <c r="A246" s="6"/>
      <c r="B246" s="6"/>
      <c r="C246" s="9"/>
      <c r="D246" s="6"/>
      <c r="E246" s="6"/>
      <c r="F246" s="6"/>
      <c r="G246" s="18"/>
      <c r="H246" s="6"/>
      <c r="I246" s="9"/>
    </row>
    <row r="247" spans="1:9" ht="14.25" customHeight="1">
      <c r="A247" s="6"/>
      <c r="B247" s="6"/>
      <c r="C247" s="9"/>
      <c r="D247" s="6"/>
      <c r="E247" s="6"/>
      <c r="F247" s="6"/>
      <c r="G247" s="18"/>
      <c r="H247" s="6"/>
      <c r="I247" s="9"/>
    </row>
    <row r="248" spans="1:9" ht="14.25" customHeight="1">
      <c r="A248" s="6"/>
      <c r="B248" s="6"/>
      <c r="C248" s="9"/>
      <c r="D248" s="6"/>
      <c r="E248" s="6"/>
      <c r="F248" s="6"/>
      <c r="G248" s="18"/>
      <c r="H248" s="6"/>
      <c r="I248" s="9"/>
    </row>
    <row r="249" spans="1:9" ht="14.25" customHeight="1">
      <c r="A249" s="6"/>
      <c r="B249" s="6"/>
      <c r="C249" s="9"/>
      <c r="D249" s="6"/>
      <c r="E249" s="6"/>
      <c r="F249" s="6"/>
      <c r="G249" s="18"/>
      <c r="H249" s="6"/>
      <c r="I249" s="9"/>
    </row>
    <row r="250" spans="1:9" ht="14.25" customHeight="1">
      <c r="A250" s="6"/>
      <c r="B250" s="6"/>
      <c r="C250" s="9"/>
      <c r="D250" s="6"/>
      <c r="E250" s="6"/>
      <c r="F250" s="6"/>
      <c r="G250" s="18"/>
      <c r="H250" s="6"/>
      <c r="I250" s="9"/>
    </row>
    <row r="251" spans="1:9" ht="14.25" customHeight="1">
      <c r="A251" s="6"/>
      <c r="B251" s="6"/>
      <c r="C251" s="9"/>
      <c r="D251" s="6"/>
      <c r="E251" s="6"/>
      <c r="F251" s="6"/>
      <c r="G251" s="18"/>
      <c r="H251" s="6"/>
      <c r="I251" s="9"/>
    </row>
    <row r="252" spans="1:9" ht="14.25" customHeight="1">
      <c r="A252" s="6"/>
      <c r="B252" s="6"/>
      <c r="C252" s="9"/>
      <c r="D252" s="6"/>
      <c r="E252" s="6"/>
      <c r="F252" s="6"/>
      <c r="G252" s="18"/>
      <c r="H252" s="6"/>
      <c r="I252" s="9"/>
    </row>
    <row r="253" spans="1:9" ht="14.25" customHeight="1">
      <c r="A253" s="6"/>
      <c r="B253" s="6"/>
      <c r="C253" s="9"/>
      <c r="D253" s="6"/>
      <c r="E253" s="6"/>
      <c r="F253" s="6"/>
      <c r="G253" s="18"/>
      <c r="H253" s="6"/>
      <c r="I253" s="9"/>
    </row>
    <row r="254" spans="1:9" ht="14.25" customHeight="1">
      <c r="A254" s="6"/>
      <c r="B254" s="6"/>
      <c r="C254" s="9"/>
      <c r="D254" s="6"/>
      <c r="E254" s="6"/>
      <c r="F254" s="6"/>
      <c r="G254" s="18"/>
      <c r="H254" s="6"/>
      <c r="I254" s="9"/>
    </row>
    <row r="255" spans="1:9" ht="14.25" customHeight="1">
      <c r="A255" s="6"/>
      <c r="B255" s="6"/>
      <c r="C255" s="9"/>
      <c r="D255" s="6"/>
      <c r="E255" s="6"/>
      <c r="F255" s="6"/>
      <c r="G255" s="18"/>
      <c r="H255" s="6"/>
      <c r="I255" s="9"/>
    </row>
    <row r="256" spans="1:9" ht="14.25" customHeight="1">
      <c r="A256" s="6"/>
      <c r="B256" s="6"/>
      <c r="C256" s="9"/>
      <c r="D256" s="6"/>
      <c r="E256" s="6"/>
      <c r="F256" s="6"/>
      <c r="G256" s="18"/>
      <c r="H256" s="6"/>
      <c r="I256" s="9"/>
    </row>
    <row r="257" spans="1:9" ht="14.25" customHeight="1">
      <c r="A257" s="6"/>
      <c r="B257" s="6"/>
      <c r="C257" s="9"/>
      <c r="D257" s="6"/>
      <c r="E257" s="6"/>
      <c r="F257" s="6"/>
      <c r="G257" s="18"/>
      <c r="H257" s="6"/>
      <c r="I257" s="9"/>
    </row>
    <row r="258" spans="1:9" ht="14.25" customHeight="1">
      <c r="A258" s="6"/>
      <c r="B258" s="6"/>
      <c r="C258" s="9"/>
      <c r="D258" s="6"/>
      <c r="E258" s="6"/>
      <c r="F258" s="6"/>
      <c r="G258" s="18"/>
      <c r="H258" s="6"/>
      <c r="I258" s="9"/>
    </row>
    <row r="259" spans="1:9" ht="14.25" customHeight="1">
      <c r="A259" s="6"/>
      <c r="B259" s="6"/>
      <c r="C259" s="9"/>
      <c r="D259" s="6"/>
      <c r="E259" s="6"/>
      <c r="F259" s="6"/>
      <c r="G259" s="18"/>
      <c r="H259" s="6"/>
      <c r="I259" s="9"/>
    </row>
    <row r="260" spans="1:9" ht="14.25" customHeight="1">
      <c r="A260" s="6"/>
      <c r="B260" s="6"/>
      <c r="C260" s="9"/>
      <c r="D260" s="6"/>
      <c r="E260" s="6"/>
      <c r="F260" s="6"/>
      <c r="G260" s="18"/>
      <c r="H260" s="6"/>
      <c r="I260" s="9"/>
    </row>
    <row r="261" spans="1:9" ht="14.25" customHeight="1">
      <c r="A261" s="6"/>
      <c r="B261" s="6"/>
      <c r="C261" s="9"/>
      <c r="D261" s="6"/>
      <c r="E261" s="6"/>
      <c r="F261" s="6"/>
      <c r="G261" s="18"/>
      <c r="H261" s="6"/>
      <c r="I261" s="9"/>
    </row>
    <row r="262" spans="1:9" ht="14.25" customHeight="1">
      <c r="A262" s="6"/>
      <c r="B262" s="6"/>
      <c r="C262" s="9"/>
      <c r="D262" s="6"/>
      <c r="E262" s="6"/>
      <c r="F262" s="6"/>
      <c r="G262" s="18"/>
      <c r="H262" s="6"/>
      <c r="I262" s="9"/>
    </row>
    <row r="263" spans="1:9" ht="14.25" customHeight="1">
      <c r="A263" s="6"/>
      <c r="B263" s="6"/>
      <c r="C263" s="9"/>
      <c r="D263" s="6"/>
      <c r="E263" s="6"/>
      <c r="F263" s="6"/>
      <c r="G263" s="18"/>
      <c r="H263" s="6"/>
      <c r="I263" s="9"/>
    </row>
    <row r="264" spans="1:9" ht="14.25" customHeight="1">
      <c r="A264" s="6"/>
      <c r="B264" s="6"/>
      <c r="C264" s="9"/>
      <c r="D264" s="6"/>
      <c r="E264" s="6"/>
      <c r="F264" s="6"/>
      <c r="G264" s="18"/>
      <c r="H264" s="6"/>
      <c r="I264" s="9"/>
    </row>
    <row r="265" spans="1:9" ht="14.25" customHeight="1">
      <c r="A265" s="6"/>
      <c r="B265" s="6"/>
      <c r="C265" s="9"/>
      <c r="D265" s="6"/>
      <c r="E265" s="6"/>
      <c r="F265" s="6"/>
      <c r="G265" s="18"/>
      <c r="H265" s="6"/>
      <c r="I265" s="9"/>
    </row>
    <row r="266" spans="1:9" ht="14.25" customHeight="1">
      <c r="A266" s="6"/>
      <c r="B266" s="6"/>
      <c r="C266" s="9"/>
      <c r="D266" s="6"/>
      <c r="E266" s="6"/>
      <c r="F266" s="6"/>
      <c r="G266" s="18"/>
      <c r="H266" s="6"/>
      <c r="I266" s="9"/>
    </row>
    <row r="267" spans="1:9" ht="14.25" customHeight="1">
      <c r="A267" s="6"/>
      <c r="B267" s="6"/>
      <c r="C267" s="9"/>
      <c r="D267" s="6"/>
      <c r="E267" s="6"/>
      <c r="F267" s="6"/>
      <c r="G267" s="18"/>
      <c r="H267" s="6"/>
      <c r="I267" s="9"/>
    </row>
    <row r="268" spans="1:9" ht="14.25" customHeight="1">
      <c r="A268" s="6"/>
      <c r="B268" s="6"/>
      <c r="C268" s="9"/>
      <c r="D268" s="6"/>
      <c r="E268" s="6"/>
      <c r="F268" s="6"/>
      <c r="G268" s="18"/>
      <c r="H268" s="6"/>
      <c r="I268" s="9"/>
    </row>
    <row r="269" spans="1:9" ht="14.25" customHeight="1">
      <c r="A269" s="6"/>
      <c r="B269" s="6"/>
      <c r="C269" s="9"/>
      <c r="D269" s="6"/>
      <c r="E269" s="6"/>
      <c r="F269" s="6"/>
      <c r="G269" s="18"/>
      <c r="H269" s="6"/>
      <c r="I269" s="9"/>
    </row>
    <row r="270" spans="1:9" ht="14.25" customHeight="1">
      <c r="A270" s="6"/>
      <c r="B270" s="6"/>
      <c r="C270" s="9"/>
      <c r="D270" s="6"/>
      <c r="E270" s="6"/>
      <c r="F270" s="6"/>
      <c r="G270" s="18"/>
      <c r="H270" s="6"/>
      <c r="I270" s="9"/>
    </row>
    <row r="271" spans="1:9" ht="14.25" customHeight="1">
      <c r="A271" s="6"/>
      <c r="B271" s="6"/>
      <c r="C271" s="9"/>
      <c r="D271" s="6"/>
      <c r="E271" s="6"/>
      <c r="F271" s="6"/>
      <c r="G271" s="18"/>
      <c r="H271" s="6"/>
      <c r="I271" s="9"/>
    </row>
    <row r="272" spans="1:9" ht="14.25" customHeight="1">
      <c r="A272" s="6"/>
      <c r="B272" s="6"/>
      <c r="C272" s="9"/>
      <c r="D272" s="6"/>
      <c r="E272" s="6"/>
      <c r="F272" s="6"/>
      <c r="G272" s="18"/>
      <c r="H272" s="6"/>
      <c r="I272" s="9"/>
    </row>
    <row r="273" spans="1:9" ht="14.25" customHeight="1">
      <c r="A273" s="6"/>
      <c r="B273" s="6"/>
      <c r="C273" s="9"/>
      <c r="D273" s="6"/>
      <c r="E273" s="6"/>
      <c r="F273" s="6"/>
      <c r="G273" s="18"/>
      <c r="H273" s="6"/>
      <c r="I273" s="9"/>
    </row>
    <row r="274" spans="1:9" ht="14.25" customHeight="1">
      <c r="A274" s="6"/>
      <c r="B274" s="6"/>
      <c r="C274" s="9"/>
      <c r="D274" s="6"/>
      <c r="E274" s="6"/>
      <c r="F274" s="6"/>
      <c r="G274" s="18"/>
      <c r="H274" s="6"/>
      <c r="I274" s="9"/>
    </row>
    <row r="275" spans="1:9" ht="14.25" customHeight="1">
      <c r="A275" s="6"/>
      <c r="B275" s="6"/>
      <c r="C275" s="9"/>
      <c r="D275" s="6"/>
      <c r="E275" s="6"/>
      <c r="F275" s="6"/>
      <c r="G275" s="18"/>
      <c r="H275" s="6"/>
      <c r="I275" s="9"/>
    </row>
    <row r="276" spans="1:9" ht="14.25" customHeight="1">
      <c r="A276" s="6"/>
      <c r="B276" s="6"/>
      <c r="C276" s="9"/>
      <c r="D276" s="6"/>
      <c r="E276" s="6"/>
      <c r="F276" s="6"/>
      <c r="G276" s="18"/>
      <c r="H276" s="6"/>
      <c r="I276" s="9"/>
    </row>
    <row r="277" spans="1:9" ht="14.25" customHeight="1">
      <c r="A277" s="6"/>
      <c r="B277" s="6"/>
      <c r="C277" s="9"/>
      <c r="D277" s="6"/>
      <c r="E277" s="6"/>
      <c r="F277" s="6"/>
      <c r="G277" s="18"/>
      <c r="H277" s="6"/>
      <c r="I277" s="9"/>
    </row>
    <row r="278" spans="1:9" ht="14.25" customHeight="1">
      <c r="A278" s="6"/>
      <c r="B278" s="6"/>
      <c r="C278" s="9"/>
      <c r="D278" s="6"/>
      <c r="E278" s="6"/>
      <c r="F278" s="6"/>
      <c r="G278" s="18"/>
      <c r="H278" s="6"/>
      <c r="I278" s="9"/>
    </row>
    <row r="279" spans="1:9" ht="14.25" customHeight="1">
      <c r="A279" s="6"/>
      <c r="B279" s="6"/>
      <c r="C279" s="9"/>
      <c r="D279" s="6"/>
      <c r="E279" s="6"/>
      <c r="F279" s="6"/>
      <c r="G279" s="18"/>
      <c r="H279" s="6"/>
      <c r="I279" s="9"/>
    </row>
    <row r="280" spans="1:9" ht="14.25" customHeight="1">
      <c r="A280" s="6"/>
      <c r="B280" s="6"/>
      <c r="C280" s="9"/>
      <c r="D280" s="6"/>
      <c r="E280" s="6"/>
      <c r="F280" s="6"/>
      <c r="G280" s="18"/>
      <c r="H280" s="6"/>
      <c r="I280" s="9"/>
    </row>
    <row r="281" spans="1:9" ht="14.25" customHeight="1">
      <c r="A281" s="6"/>
      <c r="B281" s="6"/>
      <c r="C281" s="9"/>
      <c r="D281" s="6"/>
      <c r="E281" s="6"/>
      <c r="F281" s="6"/>
      <c r="G281" s="18"/>
      <c r="H281" s="6"/>
      <c r="I281" s="9"/>
    </row>
    <row r="282" spans="1:9" ht="14.25" customHeight="1">
      <c r="A282" s="6"/>
      <c r="B282" s="6"/>
      <c r="C282" s="9"/>
      <c r="D282" s="6"/>
      <c r="E282" s="6"/>
      <c r="F282" s="6"/>
      <c r="G282" s="18"/>
      <c r="H282" s="6"/>
      <c r="I282" s="9"/>
    </row>
    <row r="283" spans="1:9" ht="14.25" customHeight="1">
      <c r="A283" s="6"/>
      <c r="B283" s="6"/>
      <c r="C283" s="9"/>
      <c r="D283" s="6"/>
      <c r="E283" s="6"/>
      <c r="F283" s="6"/>
      <c r="G283" s="18"/>
      <c r="H283" s="6"/>
      <c r="I283" s="9"/>
    </row>
    <row r="284" spans="1:9" ht="14.25" customHeight="1">
      <c r="A284" s="6"/>
      <c r="B284" s="6"/>
      <c r="C284" s="9"/>
      <c r="D284" s="6"/>
      <c r="E284" s="6"/>
      <c r="F284" s="6"/>
      <c r="G284" s="18"/>
      <c r="H284" s="6"/>
      <c r="I284" s="9"/>
    </row>
    <row r="285" spans="1:9" ht="14.25" customHeight="1">
      <c r="A285" s="6"/>
      <c r="B285" s="6"/>
      <c r="C285" s="9"/>
      <c r="D285" s="6"/>
      <c r="E285" s="6"/>
      <c r="F285" s="6"/>
      <c r="G285" s="18"/>
      <c r="H285" s="6"/>
      <c r="I285" s="9"/>
    </row>
    <row r="286" spans="1:9" ht="14.25" customHeight="1">
      <c r="A286" s="6"/>
      <c r="B286" s="6"/>
      <c r="C286" s="9"/>
      <c r="D286" s="6"/>
      <c r="E286" s="6"/>
      <c r="F286" s="6"/>
      <c r="G286" s="18"/>
      <c r="H286" s="6"/>
      <c r="I286" s="9"/>
    </row>
    <row r="287" spans="1:9" ht="14.25" customHeight="1">
      <c r="A287" s="6"/>
      <c r="B287" s="6"/>
      <c r="C287" s="9"/>
      <c r="D287" s="6"/>
      <c r="E287" s="6"/>
      <c r="F287" s="6"/>
      <c r="G287" s="18"/>
      <c r="H287" s="6"/>
      <c r="I287" s="9"/>
    </row>
    <row r="288" spans="1:9" ht="14.25" customHeight="1">
      <c r="A288" s="6"/>
      <c r="B288" s="6"/>
      <c r="C288" s="9"/>
      <c r="D288" s="6"/>
      <c r="E288" s="6"/>
      <c r="F288" s="6"/>
      <c r="G288" s="18"/>
      <c r="H288" s="6"/>
      <c r="I288" s="9"/>
    </row>
    <row r="289" spans="1:9" ht="14.25" customHeight="1">
      <c r="A289" s="6"/>
      <c r="B289" s="6"/>
      <c r="C289" s="9"/>
      <c r="D289" s="6"/>
      <c r="E289" s="6"/>
      <c r="F289" s="6"/>
      <c r="G289" s="18"/>
      <c r="H289" s="6"/>
      <c r="I289" s="9"/>
    </row>
    <row r="290" spans="1:9" ht="14.25" customHeight="1">
      <c r="A290" s="6"/>
      <c r="B290" s="6"/>
      <c r="C290" s="9"/>
      <c r="D290" s="6"/>
      <c r="E290" s="6"/>
      <c r="F290" s="6"/>
      <c r="G290" s="18"/>
      <c r="H290" s="6"/>
      <c r="I290" s="9"/>
    </row>
    <row r="291" spans="1:9" ht="14.25" customHeight="1">
      <c r="A291" s="6"/>
      <c r="B291" s="6"/>
      <c r="C291" s="9"/>
      <c r="D291" s="6"/>
      <c r="E291" s="6"/>
      <c r="F291" s="6"/>
      <c r="G291" s="18"/>
      <c r="H291" s="6"/>
      <c r="I291" s="9"/>
    </row>
    <row r="292" spans="1:9" ht="14.25" customHeight="1">
      <c r="A292" s="6"/>
      <c r="B292" s="6"/>
      <c r="C292" s="9"/>
      <c r="D292" s="6"/>
      <c r="E292" s="6"/>
      <c r="F292" s="6"/>
      <c r="G292" s="18"/>
      <c r="H292" s="6"/>
      <c r="I292" s="9"/>
    </row>
    <row r="293" spans="1:9" ht="14.25" customHeight="1">
      <c r="A293" s="6"/>
      <c r="B293" s="6"/>
      <c r="C293" s="9"/>
      <c r="D293" s="6"/>
      <c r="E293" s="6"/>
      <c r="F293" s="6"/>
      <c r="G293" s="18"/>
      <c r="H293" s="6"/>
      <c r="I293" s="9"/>
    </row>
    <row r="294" spans="1:9" ht="14.25" customHeight="1">
      <c r="A294" s="6"/>
      <c r="B294" s="6"/>
      <c r="C294" s="9"/>
      <c r="D294" s="6"/>
      <c r="E294" s="6"/>
      <c r="F294" s="6"/>
      <c r="G294" s="18"/>
      <c r="H294" s="6"/>
      <c r="I294" s="9"/>
    </row>
    <row r="295" spans="1:9" ht="14.25" customHeight="1">
      <c r="A295" s="6"/>
      <c r="B295" s="6"/>
      <c r="C295" s="9"/>
      <c r="D295" s="6"/>
      <c r="E295" s="6"/>
      <c r="F295" s="6"/>
      <c r="G295" s="18"/>
      <c r="H295" s="6"/>
      <c r="I295" s="9"/>
    </row>
    <row r="296" spans="1:9" ht="14.25" customHeight="1">
      <c r="A296" s="6"/>
      <c r="B296" s="6"/>
      <c r="C296" s="9"/>
      <c r="D296" s="6"/>
      <c r="E296" s="6"/>
      <c r="F296" s="6"/>
      <c r="G296" s="18"/>
      <c r="H296" s="6"/>
      <c r="I296" s="9"/>
    </row>
    <row r="297" spans="1:9" ht="14.25" customHeight="1">
      <c r="A297" s="6"/>
      <c r="B297" s="6"/>
      <c r="C297" s="9"/>
      <c r="D297" s="6"/>
      <c r="E297" s="6"/>
      <c r="F297" s="6"/>
      <c r="G297" s="18"/>
      <c r="H297" s="6"/>
      <c r="I297" s="9"/>
    </row>
    <row r="298" spans="1:9" ht="14.25" customHeight="1">
      <c r="A298" s="6"/>
      <c r="B298" s="6"/>
      <c r="C298" s="9"/>
      <c r="D298" s="6"/>
      <c r="E298" s="6"/>
      <c r="F298" s="6"/>
      <c r="G298" s="18"/>
      <c r="H298" s="6"/>
      <c r="I298" s="9"/>
    </row>
    <row r="299" spans="1:9" ht="14.25" customHeight="1">
      <c r="A299" s="6"/>
      <c r="B299" s="6"/>
      <c r="C299" s="9"/>
      <c r="D299" s="6"/>
      <c r="E299" s="6"/>
      <c r="F299" s="6"/>
      <c r="G299" s="18"/>
      <c r="H299" s="6"/>
      <c r="I299" s="9"/>
    </row>
    <row r="300" spans="1:9" ht="14.25" customHeight="1">
      <c r="A300" s="6"/>
      <c r="B300" s="6"/>
      <c r="C300" s="9"/>
      <c r="D300" s="6"/>
      <c r="E300" s="6"/>
      <c r="F300" s="6"/>
      <c r="G300" s="18"/>
      <c r="H300" s="6"/>
      <c r="I300" s="9"/>
    </row>
    <row r="301" spans="1:9" ht="14.25" customHeight="1">
      <c r="A301" s="6"/>
      <c r="B301" s="6"/>
      <c r="C301" s="9"/>
      <c r="D301" s="6"/>
      <c r="E301" s="6"/>
      <c r="F301" s="6"/>
      <c r="G301" s="18"/>
      <c r="H301" s="6"/>
      <c r="I301" s="9"/>
    </row>
    <row r="302" spans="1:9" ht="14.25" customHeight="1">
      <c r="A302" s="6"/>
      <c r="B302" s="6"/>
      <c r="C302" s="9"/>
      <c r="D302" s="6"/>
      <c r="E302" s="6"/>
      <c r="F302" s="6"/>
      <c r="G302" s="18"/>
      <c r="H302" s="6"/>
      <c r="I302" s="9"/>
    </row>
    <row r="303" spans="1:9" ht="14.25" customHeight="1">
      <c r="A303" s="6"/>
      <c r="B303" s="6"/>
      <c r="C303" s="9"/>
      <c r="D303" s="6"/>
      <c r="E303" s="6"/>
      <c r="F303" s="6"/>
      <c r="G303" s="18"/>
      <c r="H303" s="6"/>
      <c r="I303" s="9"/>
    </row>
    <row r="304" spans="1:9" ht="14.25" customHeight="1">
      <c r="A304" s="6"/>
      <c r="B304" s="6"/>
      <c r="C304" s="9"/>
      <c r="D304" s="6"/>
      <c r="E304" s="6"/>
      <c r="F304" s="6"/>
      <c r="G304" s="18"/>
      <c r="H304" s="6"/>
      <c r="I304" s="9"/>
    </row>
    <row r="305" spans="1:9" ht="14.25" customHeight="1">
      <c r="A305" s="6"/>
      <c r="B305" s="6"/>
      <c r="C305" s="9"/>
      <c r="D305" s="6"/>
      <c r="E305" s="6"/>
      <c r="F305" s="6"/>
      <c r="G305" s="18"/>
      <c r="H305" s="6"/>
      <c r="I305" s="9"/>
    </row>
    <row r="306" spans="1:9" ht="14.25" customHeight="1">
      <c r="A306" s="6"/>
      <c r="B306" s="6"/>
      <c r="C306" s="9"/>
      <c r="D306" s="6"/>
      <c r="E306" s="6"/>
      <c r="F306" s="6"/>
      <c r="G306" s="18"/>
      <c r="H306" s="6"/>
      <c r="I306" s="9"/>
    </row>
    <row r="307" spans="1:9" ht="14.25" customHeight="1">
      <c r="A307" s="6"/>
      <c r="B307" s="6"/>
      <c r="C307" s="9"/>
      <c r="D307" s="6"/>
      <c r="E307" s="6"/>
      <c r="F307" s="6"/>
      <c r="G307" s="18"/>
      <c r="H307" s="6"/>
      <c r="I307" s="9"/>
    </row>
    <row r="308" spans="1:9" ht="14.25" customHeight="1">
      <c r="A308" s="6"/>
      <c r="B308" s="6"/>
      <c r="C308" s="9"/>
      <c r="D308" s="6"/>
      <c r="E308" s="6"/>
      <c r="F308" s="6"/>
      <c r="G308" s="18"/>
      <c r="H308" s="6"/>
      <c r="I308" s="9"/>
    </row>
    <row r="309" spans="1:9" ht="14.25" customHeight="1">
      <c r="A309" s="6"/>
      <c r="B309" s="6"/>
      <c r="C309" s="9"/>
      <c r="D309" s="6"/>
      <c r="E309" s="6"/>
      <c r="F309" s="6"/>
      <c r="G309" s="18"/>
      <c r="H309" s="6"/>
      <c r="I309" s="9"/>
    </row>
    <row r="310" spans="1:9" ht="14.25" customHeight="1">
      <c r="A310" s="6"/>
      <c r="B310" s="6"/>
      <c r="C310" s="9"/>
      <c r="D310" s="6"/>
      <c r="E310" s="6"/>
      <c r="F310" s="6"/>
      <c r="G310" s="18"/>
      <c r="H310" s="6"/>
      <c r="I310" s="9"/>
    </row>
    <row r="311" spans="1:9" ht="14.25" customHeight="1">
      <c r="A311" s="6"/>
      <c r="B311" s="6"/>
      <c r="C311" s="9"/>
      <c r="D311" s="6"/>
      <c r="E311" s="6"/>
      <c r="F311" s="6"/>
      <c r="G311" s="18"/>
      <c r="H311" s="6"/>
      <c r="I311" s="9"/>
    </row>
    <row r="312" spans="1:9" ht="14.25" customHeight="1">
      <c r="A312" s="6"/>
      <c r="B312" s="6"/>
      <c r="C312" s="9"/>
      <c r="D312" s="6"/>
      <c r="E312" s="6"/>
      <c r="F312" s="6"/>
      <c r="G312" s="18"/>
      <c r="H312" s="6"/>
      <c r="I312" s="9"/>
    </row>
    <row r="313" spans="1:9" ht="14.25" customHeight="1">
      <c r="A313" s="6"/>
      <c r="B313" s="6"/>
      <c r="C313" s="9"/>
      <c r="D313" s="6"/>
      <c r="E313" s="6"/>
      <c r="F313" s="6"/>
      <c r="G313" s="18"/>
      <c r="H313" s="6"/>
      <c r="I313" s="9"/>
    </row>
    <row r="314" spans="1:9" ht="14.25" customHeight="1">
      <c r="A314" s="6"/>
      <c r="B314" s="6"/>
      <c r="C314" s="9"/>
      <c r="D314" s="6"/>
      <c r="E314" s="6"/>
      <c r="F314" s="6"/>
      <c r="G314" s="18"/>
      <c r="H314" s="6"/>
      <c r="I314" s="9"/>
    </row>
    <row r="315" spans="1:9" ht="14.25" customHeight="1">
      <c r="A315" s="6"/>
      <c r="B315" s="6"/>
      <c r="C315" s="9"/>
      <c r="D315" s="6"/>
      <c r="E315" s="6"/>
      <c r="F315" s="6"/>
      <c r="G315" s="18"/>
      <c r="H315" s="6"/>
      <c r="I315" s="9"/>
    </row>
    <row r="316" spans="1:9" ht="14.25" customHeight="1">
      <c r="A316" s="6"/>
      <c r="B316" s="6"/>
      <c r="C316" s="9"/>
      <c r="D316" s="6"/>
      <c r="E316" s="6"/>
      <c r="F316" s="6"/>
      <c r="G316" s="18"/>
      <c r="H316" s="6"/>
      <c r="I316" s="9"/>
    </row>
    <row r="317" spans="1:9" ht="14.25" customHeight="1">
      <c r="A317" s="6"/>
      <c r="B317" s="6"/>
      <c r="C317" s="9"/>
      <c r="D317" s="6"/>
      <c r="E317" s="6"/>
      <c r="F317" s="6"/>
      <c r="G317" s="18"/>
      <c r="H317" s="6"/>
      <c r="I317" s="9"/>
    </row>
    <row r="318" spans="1:9" ht="14.25" customHeight="1">
      <c r="A318" s="6"/>
      <c r="B318" s="6"/>
      <c r="C318" s="9"/>
      <c r="D318" s="6"/>
      <c r="E318" s="6"/>
      <c r="F318" s="6"/>
      <c r="G318" s="18"/>
      <c r="H318" s="6"/>
      <c r="I318" s="9"/>
    </row>
    <row r="319" spans="1:9" ht="14.25" customHeight="1">
      <c r="A319" s="6"/>
      <c r="B319" s="6"/>
      <c r="C319" s="9"/>
      <c r="D319" s="6"/>
      <c r="E319" s="6"/>
      <c r="F319" s="6"/>
      <c r="G319" s="18"/>
      <c r="H319" s="6"/>
      <c r="I319" s="9"/>
    </row>
    <row r="320" spans="1:9" ht="14.25" customHeight="1">
      <c r="A320" s="6"/>
      <c r="B320" s="6"/>
      <c r="C320" s="9"/>
      <c r="D320" s="6"/>
      <c r="E320" s="6"/>
      <c r="F320" s="6"/>
      <c r="G320" s="18"/>
      <c r="H320" s="6"/>
      <c r="I320" s="9"/>
    </row>
    <row r="321" spans="1:9" ht="14.25" customHeight="1">
      <c r="A321" s="6"/>
      <c r="B321" s="6"/>
      <c r="C321" s="9"/>
      <c r="D321" s="6"/>
      <c r="E321" s="6"/>
      <c r="F321" s="6"/>
      <c r="G321" s="18"/>
      <c r="H321" s="6"/>
      <c r="I321" s="9"/>
    </row>
    <row r="322" spans="1:9" ht="14.25" customHeight="1">
      <c r="A322" s="6"/>
      <c r="B322" s="6"/>
      <c r="C322" s="9"/>
      <c r="D322" s="6"/>
      <c r="E322" s="6"/>
      <c r="F322" s="6"/>
      <c r="G322" s="18"/>
      <c r="H322" s="6"/>
      <c r="I322" s="9"/>
    </row>
    <row r="323" spans="1:9" ht="14.25" customHeight="1">
      <c r="A323" s="6"/>
      <c r="B323" s="6"/>
      <c r="C323" s="9"/>
      <c r="D323" s="6"/>
      <c r="E323" s="6"/>
      <c r="F323" s="6"/>
      <c r="G323" s="18"/>
      <c r="H323" s="6"/>
      <c r="I323" s="9"/>
    </row>
    <row r="324" spans="1:9" ht="14.25" customHeight="1">
      <c r="A324" s="6"/>
      <c r="B324" s="6"/>
      <c r="C324" s="9"/>
      <c r="D324" s="6"/>
      <c r="E324" s="6"/>
      <c r="F324" s="6"/>
      <c r="G324" s="18"/>
      <c r="H324" s="6"/>
      <c r="I324" s="9"/>
    </row>
    <row r="325" spans="1:9" ht="14.25" customHeight="1">
      <c r="A325" s="6"/>
      <c r="B325" s="6"/>
      <c r="C325" s="9"/>
      <c r="D325" s="6"/>
      <c r="E325" s="6"/>
      <c r="F325" s="6"/>
      <c r="G325" s="18"/>
      <c r="H325" s="6"/>
      <c r="I325" s="9"/>
    </row>
    <row r="326" spans="1:9" ht="14.25" customHeight="1">
      <c r="A326" s="6"/>
      <c r="B326" s="6"/>
      <c r="C326" s="9"/>
      <c r="D326" s="6"/>
      <c r="E326" s="6"/>
      <c r="F326" s="6"/>
      <c r="G326" s="18"/>
      <c r="H326" s="6"/>
      <c r="I326" s="9"/>
    </row>
    <row r="327" spans="1:9" ht="14.25" customHeight="1">
      <c r="A327" s="6"/>
      <c r="B327" s="6"/>
      <c r="C327" s="9"/>
      <c r="D327" s="6"/>
      <c r="E327" s="6"/>
      <c r="F327" s="6"/>
      <c r="G327" s="18"/>
      <c r="H327" s="6"/>
      <c r="I327" s="9"/>
    </row>
    <row r="328" spans="1:9" ht="14.25" customHeight="1">
      <c r="A328" s="6"/>
      <c r="B328" s="6"/>
      <c r="C328" s="9"/>
      <c r="D328" s="6"/>
      <c r="E328" s="6"/>
      <c r="F328" s="6"/>
      <c r="G328" s="18"/>
      <c r="H328" s="6"/>
      <c r="I328" s="9"/>
    </row>
    <row r="329" spans="1:9" ht="14.25" customHeight="1">
      <c r="A329" s="6"/>
      <c r="B329" s="6"/>
      <c r="C329" s="9"/>
      <c r="D329" s="6"/>
      <c r="E329" s="6"/>
      <c r="F329" s="6"/>
      <c r="G329" s="18"/>
      <c r="H329" s="6"/>
      <c r="I329" s="9"/>
    </row>
    <row r="330" spans="1:9" ht="14.25" customHeight="1">
      <c r="A330" s="6"/>
      <c r="B330" s="6"/>
      <c r="C330" s="9"/>
      <c r="D330" s="6"/>
      <c r="E330" s="6"/>
      <c r="F330" s="6"/>
      <c r="G330" s="18"/>
      <c r="H330" s="6"/>
      <c r="I330" s="9"/>
    </row>
    <row r="331" spans="1:9" ht="14.25" customHeight="1">
      <c r="A331" s="6"/>
      <c r="B331" s="6"/>
      <c r="C331" s="9"/>
      <c r="D331" s="6"/>
      <c r="E331" s="6"/>
      <c r="F331" s="6"/>
      <c r="G331" s="18"/>
      <c r="H331" s="6"/>
      <c r="I331" s="9"/>
    </row>
    <row r="332" spans="1:9" ht="14.25" customHeight="1">
      <c r="A332" s="6"/>
      <c r="B332" s="6"/>
      <c r="C332" s="9"/>
      <c r="D332" s="6"/>
      <c r="E332" s="6"/>
      <c r="F332" s="6"/>
      <c r="G332" s="18"/>
      <c r="H332" s="6"/>
      <c r="I332" s="9"/>
    </row>
    <row r="333" spans="1:9" ht="14.25" customHeight="1">
      <c r="A333" s="6"/>
      <c r="B333" s="6"/>
      <c r="C333" s="9"/>
      <c r="D333" s="6"/>
      <c r="E333" s="6"/>
      <c r="F333" s="6"/>
      <c r="G333" s="18"/>
      <c r="H333" s="6"/>
      <c r="I333" s="9"/>
    </row>
    <row r="334" spans="1:9" ht="14.25" customHeight="1">
      <c r="A334" s="6"/>
      <c r="B334" s="6"/>
      <c r="C334" s="9"/>
      <c r="D334" s="6"/>
      <c r="E334" s="6"/>
      <c r="F334" s="6"/>
      <c r="G334" s="18"/>
      <c r="H334" s="6"/>
      <c r="I334" s="9"/>
    </row>
    <row r="335" spans="1:9" ht="14.25" customHeight="1">
      <c r="A335" s="6"/>
      <c r="B335" s="6"/>
      <c r="C335" s="9"/>
      <c r="D335" s="6"/>
      <c r="E335" s="6"/>
      <c r="F335" s="6"/>
      <c r="G335" s="18"/>
      <c r="H335" s="6"/>
      <c r="I335" s="9"/>
    </row>
    <row r="336" spans="1:9" ht="14.25" customHeight="1">
      <c r="A336" s="6"/>
      <c r="B336" s="6"/>
      <c r="C336" s="9"/>
      <c r="D336" s="6"/>
      <c r="E336" s="6"/>
      <c r="F336" s="6"/>
      <c r="G336" s="18"/>
      <c r="H336" s="6"/>
      <c r="I336" s="9"/>
    </row>
    <row r="337" spans="1:9" ht="14.25" customHeight="1">
      <c r="A337" s="6"/>
      <c r="B337" s="6"/>
      <c r="C337" s="9"/>
      <c r="D337" s="6"/>
      <c r="E337" s="6"/>
      <c r="F337" s="6"/>
      <c r="G337" s="18"/>
      <c r="H337" s="6"/>
      <c r="I337" s="9"/>
    </row>
    <row r="338" spans="1:9" ht="14.25" customHeight="1">
      <c r="A338" s="6"/>
      <c r="B338" s="6"/>
      <c r="C338" s="9"/>
      <c r="D338" s="6"/>
      <c r="E338" s="6"/>
      <c r="F338" s="6"/>
      <c r="G338" s="18"/>
      <c r="H338" s="6"/>
      <c r="I338" s="9"/>
    </row>
    <row r="339" spans="1:9" ht="14.25" customHeight="1">
      <c r="A339" s="6"/>
      <c r="B339" s="6"/>
      <c r="C339" s="9"/>
      <c r="D339" s="6"/>
      <c r="E339" s="6"/>
      <c r="F339" s="6"/>
      <c r="G339" s="18"/>
      <c r="H339" s="6"/>
      <c r="I339" s="9"/>
    </row>
    <row r="340" spans="1:9" ht="14.25" customHeight="1">
      <c r="A340" s="6"/>
      <c r="B340" s="6"/>
      <c r="C340" s="9"/>
      <c r="D340" s="6"/>
      <c r="E340" s="6"/>
      <c r="F340" s="6"/>
      <c r="G340" s="18"/>
      <c r="H340" s="6"/>
      <c r="I340" s="9"/>
    </row>
    <row r="341" spans="1:9" ht="14.25" customHeight="1">
      <c r="A341" s="6"/>
      <c r="B341" s="6"/>
      <c r="C341" s="9"/>
      <c r="D341" s="6"/>
      <c r="E341" s="6"/>
      <c r="F341" s="6"/>
      <c r="G341" s="18"/>
      <c r="H341" s="6"/>
      <c r="I341" s="9"/>
    </row>
    <row r="342" spans="1:9" ht="14.25" customHeight="1">
      <c r="A342" s="6"/>
      <c r="B342" s="6"/>
      <c r="C342" s="9"/>
      <c r="D342" s="6"/>
      <c r="E342" s="6"/>
      <c r="F342" s="6"/>
      <c r="G342" s="18"/>
      <c r="H342" s="6"/>
      <c r="I342" s="9"/>
    </row>
    <row r="343" spans="1:9" ht="14.25" customHeight="1">
      <c r="A343" s="6"/>
      <c r="B343" s="6"/>
      <c r="C343" s="9"/>
      <c r="D343" s="6"/>
      <c r="E343" s="6"/>
      <c r="F343" s="6"/>
      <c r="G343" s="18"/>
      <c r="H343" s="6"/>
      <c r="I343" s="9"/>
    </row>
    <row r="344" spans="1:9" ht="14.25" customHeight="1">
      <c r="A344" s="6"/>
      <c r="B344" s="6"/>
      <c r="C344" s="9"/>
      <c r="D344" s="6"/>
      <c r="E344" s="6"/>
      <c r="F344" s="6"/>
      <c r="G344" s="18"/>
      <c r="H344" s="6"/>
      <c r="I344" s="9"/>
    </row>
    <row r="345" spans="1:9" ht="14.25" customHeight="1">
      <c r="A345" s="6"/>
      <c r="B345" s="6"/>
      <c r="C345" s="9"/>
      <c r="D345" s="6"/>
      <c r="E345" s="6"/>
      <c r="F345" s="6"/>
      <c r="G345" s="18"/>
      <c r="H345" s="6"/>
      <c r="I345" s="9"/>
    </row>
    <row r="346" spans="1:9" ht="14.25" customHeight="1">
      <c r="A346" s="6"/>
      <c r="B346" s="6"/>
      <c r="C346" s="9"/>
      <c r="D346" s="6"/>
      <c r="E346" s="6"/>
      <c r="F346" s="6"/>
      <c r="G346" s="18"/>
      <c r="H346" s="6"/>
      <c r="I346" s="9"/>
    </row>
    <row r="347" spans="1:9" ht="14.25" customHeight="1">
      <c r="A347" s="6"/>
      <c r="B347" s="6"/>
      <c r="C347" s="9"/>
      <c r="D347" s="6"/>
      <c r="E347" s="6"/>
      <c r="F347" s="6"/>
      <c r="G347" s="18"/>
      <c r="H347" s="6"/>
      <c r="I347" s="9"/>
    </row>
    <row r="348" spans="1:9" ht="14.25" customHeight="1">
      <c r="A348" s="6"/>
      <c r="B348" s="6"/>
      <c r="C348" s="9"/>
      <c r="D348" s="6"/>
      <c r="E348" s="6"/>
      <c r="F348" s="6"/>
      <c r="G348" s="18"/>
      <c r="H348" s="6"/>
      <c r="I348" s="9"/>
    </row>
    <row r="349" spans="1:9" ht="14.25" customHeight="1">
      <c r="A349" s="6"/>
      <c r="B349" s="6"/>
      <c r="C349" s="9"/>
      <c r="D349" s="6"/>
      <c r="E349" s="6"/>
      <c r="F349" s="6"/>
      <c r="G349" s="18"/>
      <c r="H349" s="6"/>
      <c r="I349" s="9"/>
    </row>
    <row r="350" spans="1:9" ht="14.25" customHeight="1">
      <c r="A350" s="6"/>
      <c r="B350" s="6"/>
      <c r="C350" s="9"/>
      <c r="D350" s="6"/>
      <c r="E350" s="6"/>
      <c r="F350" s="6"/>
      <c r="G350" s="18"/>
      <c r="H350" s="6"/>
      <c r="I350" s="9"/>
    </row>
    <row r="351" spans="1:9" ht="14.25" customHeight="1">
      <c r="A351" s="6"/>
      <c r="B351" s="6"/>
      <c r="C351" s="9"/>
      <c r="D351" s="6"/>
      <c r="E351" s="6"/>
      <c r="F351" s="6"/>
      <c r="G351" s="18"/>
      <c r="H351" s="6"/>
      <c r="I351" s="9"/>
    </row>
    <row r="352" spans="1:9" ht="14.25" customHeight="1">
      <c r="A352" s="6"/>
      <c r="B352" s="6"/>
      <c r="C352" s="9"/>
      <c r="D352" s="6"/>
      <c r="E352" s="6"/>
      <c r="F352" s="6"/>
      <c r="G352" s="18"/>
      <c r="H352" s="6"/>
      <c r="I352" s="9"/>
    </row>
    <row r="353" spans="1:9" ht="14.25" customHeight="1">
      <c r="A353" s="6"/>
      <c r="B353" s="6"/>
      <c r="C353" s="9"/>
      <c r="D353" s="6"/>
      <c r="E353" s="6"/>
      <c r="F353" s="6"/>
      <c r="G353" s="18"/>
      <c r="H353" s="6"/>
      <c r="I353" s="9"/>
    </row>
    <row r="354" spans="1:9" ht="14.25" customHeight="1">
      <c r="A354" s="6"/>
      <c r="B354" s="6"/>
      <c r="C354" s="9"/>
      <c r="D354" s="6"/>
      <c r="E354" s="6"/>
      <c r="F354" s="6"/>
      <c r="G354" s="18"/>
      <c r="H354" s="6"/>
      <c r="I354" s="9"/>
    </row>
    <row r="355" spans="1:9" ht="14.25" customHeight="1">
      <c r="A355" s="6"/>
      <c r="B355" s="6"/>
      <c r="C355" s="9"/>
      <c r="D355" s="6"/>
      <c r="E355" s="6"/>
      <c r="F355" s="6"/>
      <c r="G355" s="18"/>
      <c r="H355" s="6"/>
      <c r="I355" s="9"/>
    </row>
    <row r="356" spans="1:9" ht="14.25" customHeight="1">
      <c r="A356" s="6"/>
      <c r="B356" s="6"/>
      <c r="C356" s="9"/>
      <c r="D356" s="6"/>
      <c r="E356" s="6"/>
      <c r="F356" s="6"/>
      <c r="G356" s="18"/>
      <c r="H356" s="6"/>
      <c r="I356" s="9"/>
    </row>
    <row r="357" spans="1:9" ht="14.25" customHeight="1">
      <c r="A357" s="6"/>
      <c r="B357" s="6"/>
      <c r="C357" s="9"/>
      <c r="D357" s="6"/>
      <c r="E357" s="6"/>
      <c r="F357" s="6"/>
      <c r="G357" s="18"/>
      <c r="H357" s="6"/>
      <c r="I357" s="9"/>
    </row>
    <row r="358" spans="1:9" ht="14.25" customHeight="1">
      <c r="A358" s="6"/>
      <c r="B358" s="6"/>
      <c r="C358" s="9"/>
      <c r="D358" s="6"/>
      <c r="E358" s="6"/>
      <c r="F358" s="6"/>
      <c r="G358" s="18"/>
      <c r="H358" s="6"/>
      <c r="I358" s="9"/>
    </row>
    <row r="359" spans="1:9" ht="14.25" customHeight="1">
      <c r="A359" s="6"/>
      <c r="B359" s="6"/>
      <c r="C359" s="9"/>
      <c r="D359" s="6"/>
      <c r="E359" s="6"/>
      <c r="F359" s="6"/>
      <c r="G359" s="18"/>
      <c r="H359" s="6"/>
      <c r="I359" s="9"/>
    </row>
    <row r="360" spans="1:9" ht="14.25" customHeight="1">
      <c r="A360" s="6"/>
      <c r="B360" s="6"/>
      <c r="C360" s="9"/>
      <c r="D360" s="6"/>
      <c r="E360" s="6"/>
      <c r="F360" s="6"/>
      <c r="G360" s="18"/>
      <c r="H360" s="6"/>
      <c r="I360" s="9"/>
    </row>
    <row r="361" spans="1:9" ht="14.25" customHeight="1">
      <c r="A361" s="6"/>
      <c r="B361" s="6"/>
      <c r="C361" s="9"/>
      <c r="D361" s="6"/>
      <c r="E361" s="6"/>
      <c r="F361" s="6"/>
      <c r="G361" s="18"/>
      <c r="H361" s="6"/>
      <c r="I361" s="9"/>
    </row>
    <row r="362" spans="1:9" ht="14.25" customHeight="1">
      <c r="A362" s="6"/>
      <c r="B362" s="6"/>
      <c r="C362" s="9"/>
      <c r="D362" s="6"/>
      <c r="E362" s="6"/>
      <c r="F362" s="6"/>
      <c r="G362" s="18"/>
      <c r="H362" s="6"/>
      <c r="I362" s="9"/>
    </row>
    <row r="363" spans="1:9" ht="14.25" customHeight="1">
      <c r="A363" s="6"/>
      <c r="B363" s="6"/>
      <c r="C363" s="9"/>
      <c r="D363" s="6"/>
      <c r="E363" s="6"/>
      <c r="F363" s="6"/>
      <c r="G363" s="18"/>
      <c r="H363" s="6"/>
      <c r="I363" s="9"/>
    </row>
    <row r="364" spans="1:9" ht="14.25" customHeight="1">
      <c r="A364" s="6"/>
      <c r="B364" s="6"/>
      <c r="C364" s="9"/>
      <c r="D364" s="6"/>
      <c r="E364" s="6"/>
      <c r="F364" s="6"/>
      <c r="G364" s="18"/>
      <c r="H364" s="6"/>
      <c r="I364" s="9"/>
    </row>
    <row r="365" spans="1:9" ht="14.25" customHeight="1">
      <c r="A365" s="6"/>
      <c r="B365" s="6"/>
      <c r="C365" s="9"/>
      <c r="D365" s="6"/>
      <c r="E365" s="6"/>
      <c r="F365" s="6"/>
      <c r="G365" s="18"/>
      <c r="H365" s="6"/>
      <c r="I365" s="9"/>
    </row>
    <row r="366" spans="1:9" ht="14.25" customHeight="1">
      <c r="A366" s="6"/>
      <c r="B366" s="6"/>
      <c r="C366" s="9"/>
      <c r="D366" s="6"/>
      <c r="E366" s="6"/>
      <c r="F366" s="6"/>
      <c r="G366" s="18"/>
      <c r="H366" s="6"/>
      <c r="I366" s="9"/>
    </row>
    <row r="367" spans="1:9" ht="14.25" customHeight="1">
      <c r="A367" s="6"/>
      <c r="B367" s="6"/>
      <c r="C367" s="9"/>
      <c r="D367" s="6"/>
      <c r="E367" s="6"/>
      <c r="F367" s="6"/>
      <c r="G367" s="18"/>
      <c r="H367" s="6"/>
      <c r="I367" s="9"/>
    </row>
    <row r="368" spans="1:9" ht="14.25" customHeight="1">
      <c r="A368" s="6"/>
      <c r="B368" s="6"/>
      <c r="C368" s="9"/>
      <c r="D368" s="6"/>
      <c r="E368" s="6"/>
      <c r="F368" s="6"/>
      <c r="G368" s="18"/>
      <c r="H368" s="6"/>
      <c r="I368" s="9"/>
    </row>
    <row r="369" spans="1:9" ht="14.25" customHeight="1">
      <c r="A369" s="6"/>
      <c r="B369" s="6"/>
      <c r="C369" s="9"/>
      <c r="D369" s="6"/>
      <c r="E369" s="6"/>
      <c r="F369" s="6"/>
      <c r="G369" s="18"/>
      <c r="H369" s="6"/>
      <c r="I369" s="9"/>
    </row>
    <row r="370" spans="1:9" ht="14.25" customHeight="1">
      <c r="A370" s="6"/>
      <c r="B370" s="6"/>
      <c r="C370" s="9"/>
      <c r="D370" s="6"/>
      <c r="E370" s="6"/>
      <c r="F370" s="6"/>
      <c r="G370" s="18"/>
      <c r="H370" s="6"/>
      <c r="I370" s="9"/>
    </row>
    <row r="371" spans="1:9" ht="14.25" customHeight="1">
      <c r="A371" s="6"/>
      <c r="B371" s="6"/>
      <c r="C371" s="9"/>
      <c r="D371" s="6"/>
      <c r="E371" s="6"/>
      <c r="F371" s="6"/>
      <c r="G371" s="18"/>
      <c r="H371" s="6"/>
      <c r="I371" s="9"/>
    </row>
    <row r="372" spans="1:9" ht="14.25" customHeight="1">
      <c r="A372" s="6"/>
      <c r="B372" s="6"/>
      <c r="C372" s="9"/>
      <c r="D372" s="6"/>
      <c r="E372" s="6"/>
      <c r="F372" s="6"/>
      <c r="G372" s="18"/>
      <c r="H372" s="6"/>
      <c r="I372" s="9"/>
    </row>
    <row r="373" spans="1:9" ht="14.25" customHeight="1">
      <c r="A373" s="6"/>
      <c r="B373" s="6"/>
      <c r="C373" s="9"/>
      <c r="D373" s="6"/>
      <c r="E373" s="6"/>
      <c r="F373" s="6"/>
      <c r="G373" s="18"/>
      <c r="H373" s="6"/>
      <c r="I373" s="9"/>
    </row>
    <row r="374" spans="1:9" ht="14.25" customHeight="1">
      <c r="A374" s="6"/>
      <c r="B374" s="6"/>
      <c r="C374" s="9"/>
      <c r="D374" s="6"/>
      <c r="E374" s="6"/>
      <c r="F374" s="6"/>
      <c r="G374" s="18"/>
      <c r="H374" s="6"/>
      <c r="I374" s="9"/>
    </row>
    <row r="375" spans="1:9" ht="14.25" customHeight="1">
      <c r="A375" s="6"/>
      <c r="B375" s="6"/>
      <c r="C375" s="9"/>
      <c r="D375" s="6"/>
      <c r="E375" s="6"/>
      <c r="F375" s="6"/>
      <c r="G375" s="18"/>
      <c r="H375" s="6"/>
      <c r="I375" s="9"/>
    </row>
    <row r="376" spans="1:9" ht="14.25" customHeight="1">
      <c r="A376" s="6"/>
      <c r="B376" s="6"/>
      <c r="C376" s="9"/>
      <c r="D376" s="6"/>
      <c r="E376" s="6"/>
      <c r="F376" s="6"/>
      <c r="G376" s="18"/>
      <c r="H376" s="6"/>
      <c r="I376" s="9"/>
    </row>
    <row r="377" spans="1:9" ht="14.25" customHeight="1">
      <c r="A377" s="6"/>
      <c r="B377" s="6"/>
      <c r="C377" s="9"/>
      <c r="D377" s="6"/>
      <c r="E377" s="6"/>
      <c r="F377" s="6"/>
      <c r="G377" s="18"/>
      <c r="H377" s="6"/>
      <c r="I377" s="9"/>
    </row>
    <row r="378" spans="1:9" ht="14.25" customHeight="1">
      <c r="A378" s="6"/>
      <c r="B378" s="6"/>
      <c r="C378" s="9"/>
      <c r="D378" s="6"/>
      <c r="E378" s="6"/>
      <c r="F378" s="6"/>
      <c r="G378" s="18"/>
      <c r="H378" s="6"/>
      <c r="I378" s="9"/>
    </row>
    <row r="379" spans="1:9" ht="14.25" customHeight="1">
      <c r="A379" s="6"/>
      <c r="B379" s="6"/>
      <c r="C379" s="9"/>
      <c r="D379" s="6"/>
      <c r="E379" s="6"/>
      <c r="F379" s="6"/>
      <c r="G379" s="18"/>
      <c r="H379" s="6"/>
      <c r="I379" s="9"/>
    </row>
    <row r="380" spans="1:9" ht="14.25" customHeight="1">
      <c r="A380" s="6"/>
      <c r="B380" s="6"/>
      <c r="C380" s="9"/>
      <c r="D380" s="6"/>
      <c r="E380" s="6"/>
      <c r="F380" s="6"/>
      <c r="G380" s="18"/>
      <c r="H380" s="6"/>
      <c r="I380" s="9"/>
    </row>
    <row r="381" spans="1:9" ht="14.25" customHeight="1">
      <c r="A381" s="6"/>
      <c r="B381" s="6"/>
      <c r="C381" s="9"/>
      <c r="D381" s="6"/>
      <c r="E381" s="6"/>
      <c r="F381" s="6"/>
      <c r="G381" s="18"/>
      <c r="H381" s="6"/>
      <c r="I381" s="9"/>
    </row>
    <row r="382" spans="1:9" ht="14.25" customHeight="1">
      <c r="A382" s="6"/>
      <c r="B382" s="6"/>
      <c r="C382" s="9"/>
      <c r="D382" s="6"/>
      <c r="E382" s="6"/>
      <c r="F382" s="6"/>
      <c r="G382" s="18"/>
      <c r="H382" s="6"/>
      <c r="I382" s="9"/>
    </row>
    <row r="383" spans="1:9" ht="14.25" customHeight="1">
      <c r="A383" s="6"/>
      <c r="B383" s="6"/>
      <c r="C383" s="9"/>
      <c r="D383" s="6"/>
      <c r="E383" s="6"/>
      <c r="F383" s="6"/>
      <c r="G383" s="18"/>
      <c r="H383" s="6"/>
      <c r="I383" s="9"/>
    </row>
    <row r="384" spans="1:9" ht="14.25" customHeight="1">
      <c r="A384" s="6"/>
      <c r="B384" s="6"/>
      <c r="C384" s="9"/>
      <c r="D384" s="6"/>
      <c r="E384" s="6"/>
      <c r="F384" s="6"/>
      <c r="G384" s="18"/>
      <c r="H384" s="6"/>
      <c r="I384" s="9"/>
    </row>
    <row r="385" spans="1:9" ht="14.25" customHeight="1">
      <c r="A385" s="6"/>
      <c r="B385" s="6"/>
      <c r="C385" s="9"/>
      <c r="D385" s="6"/>
      <c r="E385" s="6"/>
      <c r="F385" s="6"/>
      <c r="G385" s="18"/>
      <c r="H385" s="6"/>
      <c r="I385" s="9"/>
    </row>
    <row r="386" spans="1:9" ht="14.25" customHeight="1">
      <c r="A386" s="6"/>
      <c r="B386" s="6"/>
      <c r="C386" s="9"/>
      <c r="D386" s="6"/>
      <c r="E386" s="6"/>
      <c r="F386" s="6"/>
      <c r="G386" s="18"/>
      <c r="H386" s="6"/>
      <c r="I386" s="9"/>
    </row>
    <row r="387" spans="1:9" ht="14.25" customHeight="1">
      <c r="A387" s="6"/>
      <c r="B387" s="6"/>
      <c r="C387" s="9"/>
      <c r="D387" s="6"/>
      <c r="E387" s="6"/>
      <c r="F387" s="6"/>
      <c r="G387" s="18"/>
      <c r="H387" s="6"/>
      <c r="I387" s="9"/>
    </row>
    <row r="388" spans="1:9" ht="14.25" customHeight="1">
      <c r="A388" s="6"/>
      <c r="B388" s="6"/>
      <c r="C388" s="9"/>
      <c r="D388" s="6"/>
      <c r="E388" s="6"/>
      <c r="F388" s="6"/>
      <c r="G388" s="18"/>
      <c r="H388" s="6"/>
      <c r="I388" s="9"/>
    </row>
    <row r="389" spans="1:9" ht="14.25" customHeight="1">
      <c r="A389" s="6"/>
      <c r="B389" s="6"/>
      <c r="C389" s="9"/>
      <c r="D389" s="6"/>
      <c r="E389" s="6"/>
      <c r="F389" s="6"/>
      <c r="G389" s="18"/>
      <c r="H389" s="6"/>
      <c r="I389" s="9"/>
    </row>
    <row r="390" spans="1:9" ht="14.25" customHeight="1">
      <c r="A390" s="6"/>
      <c r="B390" s="6"/>
      <c r="C390" s="9"/>
      <c r="D390" s="6"/>
      <c r="E390" s="6"/>
      <c r="F390" s="6"/>
      <c r="G390" s="18"/>
      <c r="H390" s="6"/>
      <c r="I390" s="9"/>
    </row>
    <row r="391" spans="1:9" ht="14.25" customHeight="1">
      <c r="A391" s="6"/>
      <c r="B391" s="6"/>
      <c r="C391" s="9"/>
      <c r="D391" s="6"/>
      <c r="E391" s="6"/>
      <c r="F391" s="6"/>
      <c r="G391" s="18"/>
      <c r="H391" s="6"/>
      <c r="I391" s="9"/>
    </row>
    <row r="392" spans="1:9" ht="14.25" customHeight="1">
      <c r="A392" s="6"/>
      <c r="B392" s="6"/>
      <c r="C392" s="9"/>
      <c r="D392" s="6"/>
      <c r="E392" s="6"/>
      <c r="F392" s="6"/>
      <c r="G392" s="18"/>
      <c r="H392" s="6"/>
      <c r="I392" s="9"/>
    </row>
    <row r="393" spans="1:9" ht="14.25" customHeight="1">
      <c r="A393" s="6"/>
      <c r="B393" s="6"/>
      <c r="C393" s="9"/>
      <c r="D393" s="6"/>
      <c r="E393" s="6"/>
      <c r="F393" s="6"/>
      <c r="G393" s="18"/>
      <c r="H393" s="6"/>
      <c r="I393" s="9"/>
    </row>
    <row r="394" spans="1:9" ht="14.25" customHeight="1">
      <c r="A394" s="6"/>
      <c r="B394" s="6"/>
      <c r="C394" s="9"/>
      <c r="D394" s="6"/>
      <c r="E394" s="6"/>
      <c r="F394" s="6"/>
      <c r="G394" s="18"/>
      <c r="H394" s="6"/>
      <c r="I394" s="9"/>
    </row>
    <row r="395" spans="1:9" ht="14.25" customHeight="1">
      <c r="A395" s="6"/>
      <c r="B395" s="6"/>
      <c r="C395" s="9"/>
      <c r="D395" s="6"/>
      <c r="E395" s="6"/>
      <c r="F395" s="6"/>
      <c r="G395" s="18"/>
      <c r="H395" s="6"/>
      <c r="I395" s="9"/>
    </row>
    <row r="396" spans="1:9" ht="14.25" customHeight="1">
      <c r="A396" s="6"/>
      <c r="B396" s="6"/>
      <c r="C396" s="9"/>
      <c r="D396" s="6"/>
      <c r="E396" s="6"/>
      <c r="F396" s="6"/>
      <c r="G396" s="18"/>
      <c r="H396" s="6"/>
      <c r="I396" s="9"/>
    </row>
    <row r="397" spans="1:9" ht="14.25" customHeight="1">
      <c r="A397" s="6"/>
      <c r="B397" s="6"/>
      <c r="C397" s="9"/>
      <c r="D397" s="6"/>
      <c r="E397" s="6"/>
      <c r="F397" s="6"/>
      <c r="G397" s="18"/>
      <c r="H397" s="6"/>
      <c r="I397" s="9"/>
    </row>
    <row r="398" spans="1:9" ht="14.25" customHeight="1">
      <c r="A398" s="6"/>
      <c r="B398" s="6"/>
      <c r="C398" s="9"/>
      <c r="D398" s="6"/>
      <c r="E398" s="6"/>
      <c r="F398" s="6"/>
      <c r="G398" s="18"/>
      <c r="H398" s="6"/>
      <c r="I398" s="9"/>
    </row>
    <row r="399" spans="1:9" ht="14.25" customHeight="1">
      <c r="A399" s="6"/>
      <c r="B399" s="6"/>
      <c r="C399" s="9"/>
      <c r="D399" s="6"/>
      <c r="E399" s="6"/>
      <c r="F399" s="6"/>
      <c r="G399" s="18"/>
      <c r="H399" s="6"/>
      <c r="I399" s="9"/>
    </row>
    <row r="400" spans="1:9" ht="14.25" customHeight="1">
      <c r="A400" s="6"/>
      <c r="B400" s="6"/>
      <c r="C400" s="9"/>
      <c r="D400" s="6"/>
      <c r="E400" s="6"/>
      <c r="F400" s="6"/>
      <c r="G400" s="18"/>
      <c r="H400" s="6"/>
      <c r="I400" s="9"/>
    </row>
    <row r="401" spans="1:9" ht="14.25" customHeight="1">
      <c r="A401" s="6"/>
      <c r="B401" s="6"/>
      <c r="C401" s="9"/>
      <c r="D401" s="6"/>
      <c r="E401" s="6"/>
      <c r="F401" s="6"/>
      <c r="G401" s="18"/>
      <c r="H401" s="6"/>
      <c r="I401" s="9"/>
    </row>
    <row r="402" spans="1:9" ht="14.25" customHeight="1">
      <c r="A402" s="6"/>
      <c r="B402" s="6"/>
      <c r="C402" s="9"/>
      <c r="D402" s="6"/>
      <c r="E402" s="6"/>
      <c r="F402" s="6"/>
      <c r="G402" s="18"/>
      <c r="H402" s="6"/>
      <c r="I402" s="9"/>
    </row>
    <row r="403" spans="1:9" ht="14.25" customHeight="1">
      <c r="A403" s="6"/>
      <c r="B403" s="6"/>
      <c r="C403" s="9"/>
      <c r="D403" s="6"/>
      <c r="E403" s="6"/>
      <c r="F403" s="6"/>
      <c r="G403" s="18"/>
      <c r="H403" s="6"/>
      <c r="I403" s="9"/>
    </row>
    <row r="404" spans="1:9" ht="14.25" customHeight="1">
      <c r="A404" s="6"/>
      <c r="B404" s="6"/>
      <c r="C404" s="9"/>
      <c r="D404" s="6"/>
      <c r="E404" s="6"/>
      <c r="F404" s="6"/>
      <c r="G404" s="18"/>
      <c r="H404" s="6"/>
      <c r="I404" s="9"/>
    </row>
    <row r="405" spans="1:9" ht="14.25" customHeight="1">
      <c r="A405" s="6"/>
      <c r="B405" s="6"/>
      <c r="C405" s="9"/>
      <c r="D405" s="6"/>
      <c r="E405" s="6"/>
      <c r="F405" s="6"/>
      <c r="G405" s="18"/>
      <c r="H405" s="6"/>
      <c r="I405" s="9"/>
    </row>
    <row r="406" spans="1:9" ht="14.25" customHeight="1">
      <c r="A406" s="6"/>
      <c r="B406" s="6"/>
      <c r="C406" s="9"/>
      <c r="D406" s="6"/>
      <c r="E406" s="6"/>
      <c r="F406" s="6"/>
      <c r="G406" s="18"/>
      <c r="H406" s="6"/>
      <c r="I406" s="9"/>
    </row>
    <row r="407" spans="1:9" ht="14.25" customHeight="1">
      <c r="A407" s="6"/>
      <c r="B407" s="6"/>
      <c r="C407" s="9"/>
      <c r="D407" s="6"/>
      <c r="E407" s="6"/>
      <c r="F407" s="6"/>
      <c r="G407" s="18"/>
      <c r="H407" s="6"/>
      <c r="I407" s="9"/>
    </row>
    <row r="408" spans="1:9" ht="14.25" customHeight="1">
      <c r="A408" s="6"/>
      <c r="B408" s="6"/>
      <c r="C408" s="9"/>
      <c r="D408" s="6"/>
      <c r="E408" s="6"/>
      <c r="F408" s="6"/>
      <c r="G408" s="18"/>
      <c r="H408" s="6"/>
      <c r="I408" s="9"/>
    </row>
    <row r="409" spans="1:9" ht="14.25" customHeight="1">
      <c r="A409" s="6"/>
      <c r="B409" s="6"/>
      <c r="C409" s="9"/>
      <c r="D409" s="6"/>
      <c r="E409" s="6"/>
      <c r="F409" s="6"/>
      <c r="G409" s="18"/>
      <c r="H409" s="6"/>
      <c r="I409" s="9"/>
    </row>
    <row r="410" spans="1:9" ht="14.25" customHeight="1">
      <c r="A410" s="6"/>
      <c r="B410" s="6"/>
      <c r="C410" s="9"/>
      <c r="D410" s="6"/>
      <c r="E410" s="6"/>
      <c r="F410" s="6"/>
      <c r="G410" s="18"/>
      <c r="H410" s="6"/>
      <c r="I410" s="9"/>
    </row>
    <row r="411" spans="1:9" ht="14.25" customHeight="1">
      <c r="A411" s="6"/>
      <c r="B411" s="6"/>
      <c r="C411" s="9"/>
      <c r="D411" s="6"/>
      <c r="E411" s="6"/>
      <c r="F411" s="6"/>
      <c r="G411" s="18"/>
      <c r="H411" s="6"/>
      <c r="I411" s="9"/>
    </row>
    <row r="412" spans="1:9" ht="14.25" customHeight="1">
      <c r="A412" s="6"/>
      <c r="B412" s="6"/>
      <c r="C412" s="9"/>
      <c r="D412" s="6"/>
      <c r="E412" s="6"/>
      <c r="F412" s="6"/>
      <c r="G412" s="18"/>
      <c r="H412" s="6"/>
      <c r="I412" s="9"/>
    </row>
    <row r="413" spans="1:9" ht="14.25" customHeight="1">
      <c r="A413" s="6"/>
      <c r="B413" s="6"/>
      <c r="C413" s="9"/>
      <c r="D413" s="6"/>
      <c r="E413" s="6"/>
      <c r="F413" s="6"/>
      <c r="G413" s="18"/>
      <c r="H413" s="6"/>
      <c r="I413" s="9"/>
    </row>
    <row r="414" spans="1:9" ht="14.25" customHeight="1">
      <c r="A414" s="6"/>
      <c r="B414" s="6"/>
      <c r="C414" s="9"/>
      <c r="D414" s="6"/>
      <c r="E414" s="6"/>
      <c r="F414" s="6"/>
      <c r="G414" s="18"/>
      <c r="H414" s="6"/>
      <c r="I414" s="9"/>
    </row>
    <row r="415" spans="1:9" ht="14.25" customHeight="1">
      <c r="A415" s="6"/>
      <c r="B415" s="6"/>
      <c r="C415" s="9"/>
      <c r="D415" s="6"/>
      <c r="E415" s="6"/>
      <c r="F415" s="6"/>
      <c r="G415" s="18"/>
      <c r="H415" s="6"/>
      <c r="I415" s="9"/>
    </row>
    <row r="416" spans="1:9" ht="14.25" customHeight="1">
      <c r="A416" s="6"/>
      <c r="B416" s="6"/>
      <c r="C416" s="9"/>
      <c r="D416" s="6"/>
      <c r="E416" s="6"/>
      <c r="F416" s="6"/>
      <c r="G416" s="18"/>
      <c r="H416" s="6"/>
      <c r="I416" s="9"/>
    </row>
    <row r="417" spans="1:9" ht="14.25" customHeight="1">
      <c r="A417" s="6"/>
      <c r="B417" s="6"/>
      <c r="C417" s="9"/>
      <c r="D417" s="6"/>
      <c r="E417" s="6"/>
      <c r="F417" s="6"/>
      <c r="G417" s="18"/>
      <c r="H417" s="6"/>
      <c r="I417" s="9"/>
    </row>
    <row r="418" spans="1:9" ht="14.25" customHeight="1">
      <c r="A418" s="6"/>
      <c r="B418" s="6"/>
      <c r="C418" s="9"/>
      <c r="D418" s="6"/>
      <c r="E418" s="6"/>
      <c r="F418" s="6"/>
      <c r="G418" s="18"/>
      <c r="H418" s="6"/>
      <c r="I418" s="9"/>
    </row>
    <row r="419" spans="1:9" ht="14.25" customHeight="1">
      <c r="A419" s="6"/>
      <c r="B419" s="6"/>
      <c r="C419" s="9"/>
      <c r="D419" s="6"/>
      <c r="E419" s="6"/>
      <c r="F419" s="6"/>
      <c r="G419" s="18"/>
      <c r="H419" s="6"/>
      <c r="I419" s="9"/>
    </row>
    <row r="420" spans="1:9" ht="14.25" customHeight="1">
      <c r="A420" s="6"/>
      <c r="B420" s="6"/>
      <c r="C420" s="9"/>
      <c r="D420" s="6"/>
      <c r="E420" s="6"/>
      <c r="F420" s="6"/>
      <c r="G420" s="18"/>
      <c r="H420" s="6"/>
      <c r="I420" s="9"/>
    </row>
    <row r="421" spans="1:9" ht="14.25" customHeight="1">
      <c r="A421" s="6"/>
      <c r="B421" s="6"/>
      <c r="C421" s="9"/>
      <c r="D421" s="6"/>
      <c r="E421" s="6"/>
      <c r="F421" s="6"/>
      <c r="G421" s="18"/>
      <c r="H421" s="6"/>
      <c r="I421" s="9"/>
    </row>
    <row r="422" spans="1:9" ht="14.25" customHeight="1">
      <c r="A422" s="6"/>
      <c r="B422" s="6"/>
      <c r="C422" s="9"/>
      <c r="D422" s="6"/>
      <c r="E422" s="6"/>
      <c r="F422" s="6"/>
      <c r="G422" s="18"/>
      <c r="H422" s="6"/>
      <c r="I422" s="9"/>
    </row>
    <row r="423" spans="1:9" ht="14.25" customHeight="1">
      <c r="A423" s="6"/>
      <c r="B423" s="6"/>
      <c r="C423" s="9"/>
      <c r="D423" s="6"/>
      <c r="E423" s="6"/>
      <c r="F423" s="6"/>
      <c r="G423" s="18"/>
      <c r="H423" s="6"/>
      <c r="I423" s="9"/>
    </row>
    <row r="424" spans="1:9" ht="14.25" customHeight="1">
      <c r="A424" s="6"/>
      <c r="B424" s="6"/>
      <c r="C424" s="9"/>
      <c r="D424" s="6"/>
      <c r="E424" s="6"/>
      <c r="F424" s="6"/>
      <c r="G424" s="18"/>
      <c r="H424" s="6"/>
      <c r="I424" s="9"/>
    </row>
    <row r="425" spans="1:9" ht="14.25" customHeight="1">
      <c r="A425" s="6"/>
      <c r="B425" s="6"/>
      <c r="C425" s="9"/>
      <c r="D425" s="6"/>
      <c r="E425" s="6"/>
      <c r="F425" s="6"/>
      <c r="G425" s="18"/>
      <c r="H425" s="6"/>
      <c r="I425" s="9"/>
    </row>
    <row r="426" spans="1:9" ht="14.25" customHeight="1">
      <c r="A426" s="6"/>
      <c r="B426" s="6"/>
      <c r="C426" s="9"/>
      <c r="D426" s="6"/>
      <c r="E426" s="6"/>
      <c r="F426" s="6"/>
      <c r="G426" s="18"/>
      <c r="H426" s="6"/>
      <c r="I426" s="9"/>
    </row>
    <row r="427" spans="1:9" ht="14.25" customHeight="1">
      <c r="A427" s="6"/>
      <c r="B427" s="6"/>
      <c r="C427" s="9"/>
      <c r="D427" s="6"/>
      <c r="E427" s="6"/>
      <c r="F427" s="6"/>
      <c r="G427" s="18"/>
      <c r="H427" s="6"/>
      <c r="I427" s="9"/>
    </row>
    <row r="428" spans="1:9" ht="14.25" customHeight="1">
      <c r="A428" s="6"/>
      <c r="B428" s="6"/>
      <c r="C428" s="9"/>
      <c r="D428" s="6"/>
      <c r="E428" s="6"/>
      <c r="F428" s="6"/>
      <c r="G428" s="18"/>
      <c r="H428" s="6"/>
      <c r="I428" s="9"/>
    </row>
    <row r="429" spans="1:9" ht="14.25" customHeight="1">
      <c r="A429" s="6"/>
      <c r="B429" s="6"/>
      <c r="C429" s="9"/>
      <c r="D429" s="6"/>
      <c r="E429" s="6"/>
      <c r="F429" s="6"/>
      <c r="G429" s="18"/>
      <c r="H429" s="6"/>
      <c r="I429" s="9"/>
    </row>
    <row r="430" spans="1:9" ht="14.25" customHeight="1">
      <c r="A430" s="6"/>
      <c r="B430" s="6"/>
      <c r="C430" s="9"/>
      <c r="D430" s="6"/>
      <c r="E430" s="6"/>
      <c r="F430" s="6"/>
      <c r="G430" s="18"/>
      <c r="H430" s="6"/>
      <c r="I430" s="9"/>
    </row>
    <row r="431" spans="1:9" ht="14.25" customHeight="1">
      <c r="A431" s="6"/>
      <c r="B431" s="6"/>
      <c r="C431" s="9"/>
      <c r="D431" s="6"/>
      <c r="E431" s="6"/>
      <c r="F431" s="6"/>
      <c r="G431" s="18"/>
      <c r="H431" s="6"/>
      <c r="I431" s="9"/>
    </row>
    <row r="432" spans="1:9" ht="14.25" customHeight="1">
      <c r="A432" s="6"/>
      <c r="B432" s="6"/>
      <c r="C432" s="9"/>
      <c r="D432" s="6"/>
      <c r="E432" s="6"/>
      <c r="F432" s="6"/>
      <c r="G432" s="18"/>
      <c r="H432" s="6"/>
      <c r="I432" s="9"/>
    </row>
    <row r="433" spans="1:9" ht="14.25" customHeight="1">
      <c r="A433" s="6"/>
      <c r="B433" s="6"/>
      <c r="C433" s="9"/>
      <c r="D433" s="6"/>
      <c r="E433" s="6"/>
      <c r="F433" s="6"/>
      <c r="G433" s="18"/>
      <c r="H433" s="6"/>
      <c r="I433" s="9"/>
    </row>
    <row r="434" spans="1:9" ht="14.25" customHeight="1">
      <c r="A434" s="6"/>
      <c r="B434" s="6"/>
      <c r="C434" s="9"/>
      <c r="D434" s="6"/>
      <c r="E434" s="6"/>
      <c r="F434" s="6"/>
      <c r="G434" s="18"/>
      <c r="H434" s="6"/>
      <c r="I434" s="9"/>
    </row>
    <row r="435" spans="1:9" ht="14.25" customHeight="1">
      <c r="A435" s="6"/>
      <c r="B435" s="6"/>
      <c r="C435" s="9"/>
      <c r="D435" s="6"/>
      <c r="E435" s="6"/>
      <c r="F435" s="6"/>
      <c r="G435" s="18"/>
      <c r="H435" s="6"/>
      <c r="I435" s="9"/>
    </row>
    <row r="436" spans="1:9" ht="14.25" customHeight="1">
      <c r="A436" s="6"/>
      <c r="B436" s="6"/>
      <c r="C436" s="9"/>
      <c r="D436" s="6"/>
      <c r="E436" s="6"/>
      <c r="F436" s="6"/>
      <c r="G436" s="18"/>
      <c r="H436" s="6"/>
      <c r="I436" s="9"/>
    </row>
    <row r="437" spans="1:9" ht="14.25" customHeight="1">
      <c r="A437" s="6"/>
      <c r="B437" s="6"/>
      <c r="C437" s="9"/>
      <c r="D437" s="6"/>
      <c r="E437" s="6"/>
      <c r="F437" s="6"/>
      <c r="G437" s="18"/>
      <c r="H437" s="6"/>
      <c r="I437" s="9"/>
    </row>
    <row r="438" spans="1:9" ht="14.25" customHeight="1">
      <c r="A438" s="6"/>
      <c r="B438" s="6"/>
      <c r="C438" s="9"/>
      <c r="D438" s="6"/>
      <c r="E438" s="6"/>
      <c r="F438" s="6"/>
      <c r="G438" s="18"/>
      <c r="H438" s="6"/>
      <c r="I438" s="9"/>
    </row>
    <row r="439" spans="1:9" ht="14.25" customHeight="1">
      <c r="A439" s="6"/>
      <c r="B439" s="6"/>
      <c r="C439" s="9"/>
      <c r="D439" s="6"/>
      <c r="E439" s="6"/>
      <c r="F439" s="6"/>
      <c r="G439" s="18"/>
      <c r="H439" s="6"/>
      <c r="I439" s="9"/>
    </row>
    <row r="440" spans="1:9" ht="14.25" customHeight="1">
      <c r="A440" s="6"/>
      <c r="B440" s="6"/>
      <c r="C440" s="9"/>
      <c r="D440" s="6"/>
      <c r="E440" s="6"/>
      <c r="F440" s="6"/>
      <c r="G440" s="18"/>
      <c r="H440" s="6"/>
      <c r="I440" s="9"/>
    </row>
    <row r="441" spans="1:9" ht="14.25" customHeight="1">
      <c r="A441" s="6"/>
      <c r="B441" s="6"/>
      <c r="C441" s="9"/>
      <c r="D441" s="6"/>
      <c r="E441" s="6"/>
      <c r="F441" s="6"/>
      <c r="G441" s="18"/>
      <c r="H441" s="6"/>
      <c r="I441" s="9"/>
    </row>
    <row r="442" spans="1:9" ht="14.25" customHeight="1">
      <c r="A442" s="6"/>
      <c r="B442" s="6"/>
      <c r="C442" s="9"/>
      <c r="D442" s="6"/>
      <c r="E442" s="6"/>
      <c r="F442" s="6"/>
      <c r="G442" s="18"/>
      <c r="H442" s="6"/>
      <c r="I442" s="9"/>
    </row>
    <row r="443" spans="1:9" ht="14.25" customHeight="1">
      <c r="A443" s="6"/>
      <c r="B443" s="6"/>
      <c r="C443" s="9"/>
      <c r="D443" s="6"/>
      <c r="E443" s="6"/>
      <c r="F443" s="6"/>
      <c r="G443" s="18"/>
      <c r="H443" s="6"/>
      <c r="I443" s="9"/>
    </row>
    <row r="444" spans="1:9" ht="14.25" customHeight="1">
      <c r="A444" s="6"/>
      <c r="B444" s="6"/>
      <c r="C444" s="9"/>
      <c r="D444" s="6"/>
      <c r="E444" s="6"/>
      <c r="F444" s="6"/>
      <c r="G444" s="18"/>
      <c r="H444" s="6"/>
      <c r="I444" s="9"/>
    </row>
    <row r="445" spans="1:9" ht="14.25" customHeight="1">
      <c r="A445" s="6"/>
      <c r="B445" s="6"/>
      <c r="C445" s="9"/>
      <c r="D445" s="6"/>
      <c r="E445" s="6"/>
      <c r="F445" s="6"/>
      <c r="G445" s="18"/>
      <c r="H445" s="6"/>
      <c r="I445" s="9"/>
    </row>
    <row r="446" spans="1:9" ht="14.25" customHeight="1">
      <c r="A446" s="6"/>
      <c r="B446" s="6"/>
      <c r="C446" s="9"/>
      <c r="D446" s="6"/>
      <c r="E446" s="6"/>
      <c r="F446" s="6"/>
      <c r="G446" s="18"/>
      <c r="H446" s="6"/>
      <c r="I446" s="9"/>
    </row>
    <row r="447" spans="1:9" ht="14.25" customHeight="1">
      <c r="A447" s="6"/>
      <c r="B447" s="6"/>
      <c r="C447" s="9"/>
      <c r="D447" s="6"/>
      <c r="E447" s="6"/>
      <c r="F447" s="6"/>
      <c r="G447" s="18"/>
      <c r="H447" s="6"/>
      <c r="I447" s="9"/>
    </row>
    <row r="448" spans="1:9" ht="14.25" customHeight="1">
      <c r="A448" s="6"/>
      <c r="B448" s="6"/>
      <c r="C448" s="9"/>
      <c r="D448" s="6"/>
      <c r="E448" s="6"/>
      <c r="F448" s="6"/>
      <c r="G448" s="18"/>
      <c r="H448" s="6"/>
      <c r="I448" s="9"/>
    </row>
    <row r="449" spans="1:9" ht="14.25" customHeight="1">
      <c r="A449" s="6"/>
      <c r="B449" s="6"/>
      <c r="C449" s="9"/>
      <c r="D449" s="6"/>
      <c r="E449" s="6"/>
      <c r="F449" s="6"/>
      <c r="G449" s="18"/>
      <c r="H449" s="6"/>
      <c r="I449" s="9"/>
    </row>
    <row r="450" spans="1:9" ht="14.25" customHeight="1">
      <c r="A450" s="6"/>
      <c r="B450" s="6"/>
      <c r="C450" s="9"/>
      <c r="D450" s="6"/>
      <c r="E450" s="6"/>
      <c r="F450" s="6"/>
      <c r="G450" s="18"/>
      <c r="H450" s="6"/>
      <c r="I450" s="9"/>
    </row>
    <row r="451" spans="1:9" ht="14.25" customHeight="1">
      <c r="A451" s="6"/>
      <c r="B451" s="6"/>
      <c r="C451" s="9"/>
      <c r="D451" s="6"/>
      <c r="E451" s="6"/>
      <c r="F451" s="6"/>
      <c r="G451" s="18"/>
      <c r="H451" s="6"/>
      <c r="I451" s="9"/>
    </row>
    <row r="452" spans="1:9" ht="14.25" customHeight="1">
      <c r="A452" s="6"/>
      <c r="B452" s="6"/>
      <c r="C452" s="9"/>
      <c r="D452" s="6"/>
      <c r="E452" s="6"/>
      <c r="F452" s="6"/>
      <c r="G452" s="18"/>
      <c r="H452" s="6"/>
      <c r="I452" s="9"/>
    </row>
    <row r="453" spans="1:9" ht="14.25" customHeight="1">
      <c r="A453" s="6"/>
      <c r="B453" s="6"/>
      <c r="C453" s="9"/>
      <c r="D453" s="6"/>
      <c r="E453" s="6"/>
      <c r="F453" s="6"/>
      <c r="G453" s="18"/>
      <c r="H453" s="6"/>
      <c r="I453" s="9"/>
    </row>
    <row r="454" spans="1:9" ht="14.25" customHeight="1">
      <c r="A454" s="6"/>
      <c r="B454" s="6"/>
      <c r="C454" s="9"/>
      <c r="D454" s="6"/>
      <c r="E454" s="6"/>
      <c r="F454" s="6"/>
      <c r="G454" s="18"/>
      <c r="H454" s="6"/>
      <c r="I454" s="9"/>
    </row>
    <row r="455" spans="1:9" ht="14.25" customHeight="1">
      <c r="A455" s="6"/>
      <c r="B455" s="6"/>
      <c r="C455" s="9"/>
      <c r="D455" s="6"/>
      <c r="E455" s="6"/>
      <c r="F455" s="6"/>
      <c r="G455" s="18"/>
      <c r="H455" s="6"/>
      <c r="I455" s="9"/>
    </row>
    <row r="456" spans="1:9" ht="14.25" customHeight="1">
      <c r="A456" s="6"/>
      <c r="B456" s="6"/>
      <c r="C456" s="9"/>
      <c r="D456" s="6"/>
      <c r="E456" s="6"/>
      <c r="F456" s="6"/>
      <c r="G456" s="18"/>
      <c r="H456" s="6"/>
      <c r="I456" s="9"/>
    </row>
    <row r="457" spans="1:9" ht="14.25" customHeight="1">
      <c r="A457" s="6"/>
      <c r="B457" s="6"/>
      <c r="C457" s="9"/>
      <c r="D457" s="6"/>
      <c r="E457" s="6"/>
      <c r="F457" s="6"/>
      <c r="G457" s="18"/>
      <c r="H457" s="6"/>
      <c r="I457" s="9"/>
    </row>
    <row r="458" spans="1:9" ht="14.25" customHeight="1">
      <c r="A458" s="6"/>
      <c r="B458" s="6"/>
      <c r="C458" s="9"/>
      <c r="D458" s="6"/>
      <c r="E458" s="6"/>
      <c r="F458" s="6"/>
      <c r="G458" s="18"/>
      <c r="H458" s="6"/>
      <c r="I458" s="9"/>
    </row>
    <row r="459" spans="1:9" ht="14.25" customHeight="1">
      <c r="A459" s="6"/>
      <c r="B459" s="6"/>
      <c r="C459" s="9"/>
      <c r="D459" s="6"/>
      <c r="E459" s="6"/>
      <c r="F459" s="6"/>
      <c r="G459" s="18"/>
      <c r="H459" s="6"/>
      <c r="I459" s="9"/>
    </row>
    <row r="460" spans="1:9" ht="14.25" customHeight="1">
      <c r="A460" s="6"/>
      <c r="B460" s="6"/>
      <c r="C460" s="9"/>
      <c r="D460" s="6"/>
      <c r="E460" s="6"/>
      <c r="F460" s="6"/>
      <c r="G460" s="18"/>
      <c r="H460" s="6"/>
      <c r="I460" s="9"/>
    </row>
    <row r="461" spans="1:9" ht="14.25" customHeight="1">
      <c r="A461" s="6"/>
      <c r="B461" s="6"/>
      <c r="C461" s="9"/>
      <c r="D461" s="6"/>
      <c r="E461" s="6"/>
      <c r="F461" s="6"/>
      <c r="G461" s="18"/>
      <c r="H461" s="6"/>
      <c r="I461" s="9"/>
    </row>
    <row r="462" spans="1:9" ht="14.25" customHeight="1">
      <c r="A462" s="6"/>
      <c r="B462" s="6"/>
      <c r="C462" s="9"/>
      <c r="D462" s="6"/>
      <c r="E462" s="6"/>
      <c r="F462" s="6"/>
      <c r="G462" s="18"/>
      <c r="H462" s="6"/>
      <c r="I462" s="9"/>
    </row>
    <row r="463" spans="1:9" ht="14.25" customHeight="1">
      <c r="A463" s="6"/>
      <c r="B463" s="6"/>
      <c r="C463" s="9"/>
      <c r="D463" s="6"/>
      <c r="E463" s="6"/>
      <c r="F463" s="6"/>
      <c r="G463" s="18"/>
      <c r="H463" s="6"/>
      <c r="I463" s="9"/>
    </row>
    <row r="464" spans="1:9" ht="14.25" customHeight="1">
      <c r="A464" s="6"/>
      <c r="B464" s="6"/>
      <c r="C464" s="9"/>
      <c r="D464" s="6"/>
      <c r="E464" s="6"/>
      <c r="F464" s="6"/>
      <c r="G464" s="18"/>
      <c r="H464" s="6"/>
      <c r="I464" s="9"/>
    </row>
    <row r="465" spans="1:9" ht="14.25" customHeight="1">
      <c r="A465" s="6"/>
      <c r="B465" s="6"/>
      <c r="C465" s="9"/>
      <c r="D465" s="6"/>
      <c r="E465" s="6"/>
      <c r="F465" s="6"/>
      <c r="G465" s="18"/>
      <c r="H465" s="6"/>
      <c r="I465" s="9"/>
    </row>
    <row r="466" spans="1:9" ht="14.25" customHeight="1">
      <c r="A466" s="6"/>
      <c r="B466" s="6"/>
      <c r="C466" s="9"/>
      <c r="D466" s="6"/>
      <c r="E466" s="6"/>
      <c r="F466" s="6"/>
      <c r="G466" s="18"/>
      <c r="H466" s="6"/>
      <c r="I466" s="9"/>
    </row>
    <row r="467" spans="1:9" ht="14.25" customHeight="1">
      <c r="A467" s="6"/>
      <c r="B467" s="6"/>
      <c r="C467" s="9"/>
      <c r="D467" s="6"/>
      <c r="E467" s="6"/>
      <c r="F467" s="6"/>
      <c r="G467" s="18"/>
      <c r="H467" s="6"/>
      <c r="I467" s="9"/>
    </row>
    <row r="468" spans="1:9" ht="14.25" customHeight="1">
      <c r="A468" s="6"/>
      <c r="B468" s="6"/>
      <c r="C468" s="9"/>
      <c r="D468" s="6"/>
      <c r="E468" s="6"/>
      <c r="F468" s="6"/>
      <c r="G468" s="18"/>
      <c r="H468" s="6"/>
      <c r="I468" s="9"/>
    </row>
    <row r="469" spans="1:9" ht="14.25" customHeight="1">
      <c r="A469" s="6"/>
      <c r="B469" s="6"/>
      <c r="C469" s="9"/>
      <c r="D469" s="6"/>
      <c r="E469" s="6"/>
      <c r="F469" s="6"/>
      <c r="G469" s="18"/>
      <c r="H469" s="6"/>
      <c r="I469" s="9"/>
    </row>
    <row r="470" spans="1:9" ht="14.25" customHeight="1">
      <c r="A470" s="6"/>
      <c r="B470" s="6"/>
      <c r="C470" s="9"/>
      <c r="D470" s="6"/>
      <c r="E470" s="6"/>
      <c r="F470" s="6"/>
      <c r="G470" s="18"/>
      <c r="H470" s="6"/>
      <c r="I470" s="9"/>
    </row>
    <row r="471" spans="1:9" ht="14.25" customHeight="1">
      <c r="A471" s="6"/>
      <c r="B471" s="6"/>
      <c r="C471" s="9"/>
      <c r="D471" s="6"/>
      <c r="E471" s="6"/>
      <c r="F471" s="6"/>
      <c r="G471" s="18"/>
      <c r="H471" s="6"/>
      <c r="I471" s="9"/>
    </row>
    <row r="472" spans="1:9" ht="14.25" customHeight="1">
      <c r="A472" s="6"/>
      <c r="B472" s="6"/>
      <c r="C472" s="9"/>
      <c r="D472" s="6"/>
      <c r="E472" s="6"/>
      <c r="F472" s="6"/>
      <c r="G472" s="18"/>
      <c r="H472" s="6"/>
      <c r="I472" s="9"/>
    </row>
    <row r="473" spans="1:9" ht="14.25" customHeight="1">
      <c r="A473" s="6"/>
      <c r="B473" s="6"/>
      <c r="C473" s="9"/>
      <c r="D473" s="6"/>
      <c r="E473" s="6"/>
      <c r="F473" s="6"/>
      <c r="G473" s="18"/>
      <c r="H473" s="6"/>
      <c r="I473" s="9"/>
    </row>
    <row r="474" spans="1:9" ht="14.25" customHeight="1">
      <c r="A474" s="6"/>
      <c r="B474" s="6"/>
      <c r="C474" s="9"/>
      <c r="D474" s="6"/>
      <c r="E474" s="6"/>
      <c r="F474" s="6"/>
      <c r="G474" s="18"/>
      <c r="H474" s="6"/>
      <c r="I474" s="9"/>
    </row>
    <row r="475" spans="1:9" ht="14.25" customHeight="1">
      <c r="A475" s="6"/>
      <c r="B475" s="6"/>
      <c r="C475" s="9"/>
      <c r="D475" s="6"/>
      <c r="E475" s="6"/>
      <c r="F475" s="6"/>
      <c r="G475" s="18"/>
      <c r="H475" s="6"/>
      <c r="I475" s="9"/>
    </row>
    <row r="476" spans="1:9" ht="14.25" customHeight="1">
      <c r="A476" s="6"/>
      <c r="B476" s="6"/>
      <c r="C476" s="9"/>
      <c r="D476" s="6"/>
      <c r="E476" s="6"/>
      <c r="F476" s="6"/>
      <c r="G476" s="18"/>
      <c r="H476" s="6"/>
      <c r="I476" s="9"/>
    </row>
    <row r="477" spans="1:9" ht="14.25" customHeight="1">
      <c r="A477" s="6"/>
      <c r="B477" s="6"/>
      <c r="C477" s="9"/>
      <c r="D477" s="6"/>
      <c r="E477" s="6"/>
      <c r="F477" s="6"/>
      <c r="G477" s="18"/>
      <c r="H477" s="6"/>
      <c r="I477" s="9"/>
    </row>
    <row r="478" spans="1:9" ht="14.25" customHeight="1">
      <c r="A478" s="6"/>
      <c r="B478" s="6"/>
      <c r="C478" s="9"/>
      <c r="D478" s="6"/>
      <c r="E478" s="6"/>
      <c r="F478" s="6"/>
      <c r="G478" s="18"/>
      <c r="H478" s="6"/>
      <c r="I478" s="9"/>
    </row>
    <row r="479" spans="1:9" ht="14.25" customHeight="1">
      <c r="A479" s="6"/>
      <c r="B479" s="6"/>
      <c r="C479" s="9"/>
      <c r="D479" s="6"/>
      <c r="E479" s="6"/>
      <c r="F479" s="6"/>
      <c r="G479" s="18"/>
      <c r="H479" s="6"/>
      <c r="I479" s="9"/>
    </row>
    <row r="480" spans="1:9" ht="14.25" customHeight="1">
      <c r="A480" s="6"/>
      <c r="B480" s="6"/>
      <c r="C480" s="9"/>
      <c r="D480" s="6"/>
      <c r="E480" s="6"/>
      <c r="F480" s="6"/>
      <c r="G480" s="18"/>
      <c r="H480" s="6"/>
      <c r="I480" s="9"/>
    </row>
    <row r="481" spans="1:9" ht="14.25" customHeight="1">
      <c r="A481" s="6"/>
      <c r="B481" s="6"/>
      <c r="C481" s="9"/>
      <c r="D481" s="6"/>
      <c r="E481" s="6"/>
      <c r="F481" s="6"/>
      <c r="G481" s="18"/>
      <c r="H481" s="6"/>
      <c r="I481" s="9"/>
    </row>
    <row r="482" spans="1:9" ht="14.25" customHeight="1">
      <c r="A482" s="6"/>
      <c r="B482" s="6"/>
      <c r="C482" s="9"/>
      <c r="D482" s="6"/>
      <c r="E482" s="6"/>
      <c r="F482" s="6"/>
      <c r="G482" s="18"/>
      <c r="H482" s="6"/>
      <c r="I482" s="9"/>
    </row>
    <row r="483" spans="1:9" ht="14.25" customHeight="1">
      <c r="A483" s="6"/>
      <c r="B483" s="6"/>
      <c r="C483" s="9"/>
      <c r="D483" s="6"/>
      <c r="E483" s="6"/>
      <c r="F483" s="6"/>
      <c r="G483" s="18"/>
      <c r="H483" s="6"/>
      <c r="I483" s="9"/>
    </row>
    <row r="484" spans="1:9" ht="14.25" customHeight="1">
      <c r="A484" s="6"/>
      <c r="B484" s="6"/>
      <c r="C484" s="9"/>
      <c r="D484" s="6"/>
      <c r="E484" s="6"/>
      <c r="F484" s="6"/>
      <c r="G484" s="18"/>
      <c r="H484" s="6"/>
      <c r="I484" s="9"/>
    </row>
    <row r="485" spans="1:9" ht="14.25" customHeight="1">
      <c r="A485" s="6"/>
      <c r="B485" s="6"/>
      <c r="C485" s="9"/>
      <c r="D485" s="6"/>
      <c r="E485" s="6"/>
      <c r="F485" s="6"/>
      <c r="G485" s="18"/>
      <c r="H485" s="6"/>
      <c r="I485" s="9"/>
    </row>
    <row r="486" spans="1:9" ht="14.25" customHeight="1">
      <c r="A486" s="6"/>
      <c r="B486" s="6"/>
      <c r="C486" s="9"/>
      <c r="D486" s="6"/>
      <c r="E486" s="6"/>
      <c r="F486" s="6"/>
      <c r="G486" s="18"/>
      <c r="H486" s="6"/>
      <c r="I486" s="9"/>
    </row>
    <row r="487" spans="1:9" ht="14.25" customHeight="1">
      <c r="A487" s="6"/>
      <c r="B487" s="6"/>
      <c r="C487" s="9"/>
      <c r="D487" s="6"/>
      <c r="E487" s="6"/>
      <c r="F487" s="6"/>
      <c r="G487" s="18"/>
      <c r="H487" s="6"/>
      <c r="I487" s="9"/>
    </row>
    <row r="488" spans="1:9" ht="14.25" customHeight="1">
      <c r="A488" s="6"/>
      <c r="B488" s="6"/>
      <c r="C488" s="9"/>
      <c r="D488" s="6"/>
      <c r="E488" s="6"/>
      <c r="F488" s="6"/>
      <c r="G488" s="18"/>
      <c r="H488" s="6"/>
      <c r="I488" s="9"/>
    </row>
    <row r="489" spans="1:9" ht="14.25" customHeight="1">
      <c r="A489" s="6"/>
      <c r="B489" s="6"/>
      <c r="C489" s="9"/>
      <c r="D489" s="6"/>
      <c r="E489" s="6"/>
      <c r="F489" s="6"/>
      <c r="G489" s="18"/>
      <c r="H489" s="6"/>
      <c r="I489" s="9"/>
    </row>
    <row r="490" spans="1:9" ht="14.25" customHeight="1">
      <c r="A490" s="6"/>
      <c r="B490" s="6"/>
      <c r="C490" s="9"/>
      <c r="D490" s="6"/>
      <c r="E490" s="6"/>
      <c r="F490" s="6"/>
      <c r="G490" s="18"/>
      <c r="H490" s="6"/>
      <c r="I490" s="9"/>
    </row>
    <row r="491" spans="1:9" ht="14.25" customHeight="1">
      <c r="A491" s="6"/>
      <c r="B491" s="6"/>
      <c r="C491" s="9"/>
      <c r="D491" s="6"/>
      <c r="E491" s="6"/>
      <c r="F491" s="6"/>
      <c r="G491" s="18"/>
      <c r="H491" s="6"/>
      <c r="I491" s="9"/>
    </row>
    <row r="492" spans="1:9" ht="14.25" customHeight="1">
      <c r="A492" s="6"/>
      <c r="B492" s="6"/>
      <c r="C492" s="9"/>
      <c r="D492" s="6"/>
      <c r="E492" s="6"/>
      <c r="F492" s="6"/>
      <c r="G492" s="18"/>
      <c r="H492" s="6"/>
      <c r="I492" s="9"/>
    </row>
    <row r="493" spans="1:9" ht="14.25" customHeight="1">
      <c r="A493" s="6"/>
      <c r="B493" s="6"/>
      <c r="C493" s="9"/>
      <c r="D493" s="6"/>
      <c r="E493" s="6"/>
      <c r="F493" s="6"/>
      <c r="G493" s="18"/>
      <c r="H493" s="6"/>
      <c r="I493" s="9"/>
    </row>
    <row r="494" spans="1:9" ht="14.25" customHeight="1">
      <c r="A494" s="6"/>
      <c r="B494" s="6"/>
      <c r="C494" s="9"/>
      <c r="D494" s="6"/>
      <c r="E494" s="6"/>
      <c r="F494" s="6"/>
      <c r="G494" s="18"/>
      <c r="H494" s="6"/>
      <c r="I494" s="9"/>
    </row>
    <row r="495" spans="1:9" ht="14.25" customHeight="1">
      <c r="A495" s="6"/>
      <c r="B495" s="6"/>
      <c r="C495" s="9"/>
      <c r="D495" s="6"/>
      <c r="E495" s="6"/>
      <c r="F495" s="6"/>
      <c r="G495" s="18"/>
      <c r="H495" s="6"/>
      <c r="I495" s="9"/>
    </row>
    <row r="496" spans="1:9" ht="14.25" customHeight="1">
      <c r="A496" s="6"/>
      <c r="B496" s="6"/>
      <c r="C496" s="9"/>
      <c r="D496" s="6"/>
      <c r="E496" s="6"/>
      <c r="F496" s="6"/>
      <c r="G496" s="18"/>
      <c r="H496" s="6"/>
      <c r="I496" s="9"/>
    </row>
    <row r="497" spans="1:9" ht="14.25" customHeight="1">
      <c r="A497" s="6"/>
      <c r="B497" s="6"/>
      <c r="C497" s="9"/>
      <c r="D497" s="6"/>
      <c r="E497" s="6"/>
      <c r="F497" s="6"/>
      <c r="G497" s="18"/>
      <c r="H497" s="6"/>
      <c r="I497" s="9"/>
    </row>
    <row r="498" spans="1:9" ht="14.25" customHeight="1">
      <c r="A498" s="6"/>
      <c r="B498" s="6"/>
      <c r="C498" s="9"/>
      <c r="D498" s="6"/>
      <c r="E498" s="6"/>
      <c r="F498" s="6"/>
      <c r="G498" s="18"/>
      <c r="H498" s="6"/>
      <c r="I498" s="9"/>
    </row>
    <row r="499" spans="1:9" ht="14.25" customHeight="1">
      <c r="A499" s="6"/>
      <c r="B499" s="6"/>
      <c r="C499" s="9"/>
      <c r="D499" s="6"/>
      <c r="E499" s="6"/>
      <c r="F499" s="6"/>
      <c r="G499" s="18"/>
      <c r="H499" s="6"/>
      <c r="I499" s="9"/>
    </row>
    <row r="500" spans="1:9" ht="14.25" customHeight="1">
      <c r="A500" s="6"/>
      <c r="B500" s="6"/>
      <c r="C500" s="9"/>
      <c r="D500" s="6"/>
      <c r="E500" s="6"/>
      <c r="F500" s="6"/>
      <c r="G500" s="18"/>
      <c r="H500" s="6"/>
      <c r="I500" s="9"/>
    </row>
    <row r="501" spans="1:9" ht="14.25" customHeight="1">
      <c r="A501" s="6"/>
      <c r="B501" s="6"/>
      <c r="C501" s="9"/>
      <c r="D501" s="6"/>
      <c r="E501" s="6"/>
      <c r="F501" s="6"/>
      <c r="G501" s="18"/>
      <c r="H501" s="6"/>
      <c r="I501" s="9"/>
    </row>
    <row r="502" spans="1:9" ht="14.25" customHeight="1">
      <c r="A502" s="6"/>
      <c r="B502" s="6"/>
      <c r="C502" s="9"/>
      <c r="D502" s="6"/>
      <c r="E502" s="6"/>
      <c r="F502" s="6"/>
      <c r="G502" s="18"/>
      <c r="H502" s="6"/>
      <c r="I502" s="9"/>
    </row>
    <row r="503" spans="1:9" ht="14.25" customHeight="1">
      <c r="A503" s="6"/>
      <c r="B503" s="6"/>
      <c r="C503" s="9"/>
      <c r="D503" s="6"/>
      <c r="E503" s="6"/>
      <c r="F503" s="6"/>
      <c r="G503" s="18"/>
      <c r="H503" s="6"/>
      <c r="I503" s="9"/>
    </row>
    <row r="504" spans="1:9" ht="14.25" customHeight="1">
      <c r="A504" s="6"/>
      <c r="B504" s="6"/>
      <c r="C504" s="9"/>
      <c r="D504" s="6"/>
      <c r="E504" s="6"/>
      <c r="F504" s="6"/>
      <c r="G504" s="18"/>
      <c r="H504" s="6"/>
      <c r="I504" s="9"/>
    </row>
    <row r="505" spans="1:9" ht="14.25" customHeight="1">
      <c r="A505" s="6"/>
      <c r="B505" s="6"/>
      <c r="C505" s="9"/>
      <c r="D505" s="6"/>
      <c r="E505" s="6"/>
      <c r="F505" s="6"/>
      <c r="G505" s="18"/>
      <c r="H505" s="6"/>
      <c r="I505" s="9"/>
    </row>
    <row r="506" spans="1:9" ht="14.25" customHeight="1">
      <c r="A506" s="6"/>
      <c r="B506" s="6"/>
      <c r="C506" s="9"/>
      <c r="D506" s="6"/>
      <c r="E506" s="6"/>
      <c r="F506" s="6"/>
      <c r="G506" s="18"/>
      <c r="H506" s="6"/>
      <c r="I506" s="9"/>
    </row>
    <row r="507" spans="1:9" ht="14.25" customHeight="1">
      <c r="A507" s="6"/>
      <c r="B507" s="6"/>
      <c r="C507" s="9"/>
      <c r="D507" s="6"/>
      <c r="E507" s="6"/>
      <c r="F507" s="6"/>
      <c r="G507" s="18"/>
      <c r="H507" s="6"/>
      <c r="I507" s="9"/>
    </row>
    <row r="508" spans="1:9" ht="14.25" customHeight="1">
      <c r="A508" s="6"/>
      <c r="B508" s="6"/>
      <c r="C508" s="9"/>
      <c r="D508" s="6"/>
      <c r="E508" s="6"/>
      <c r="F508" s="6"/>
      <c r="G508" s="18"/>
      <c r="H508" s="6"/>
      <c r="I508" s="9"/>
    </row>
    <row r="509" spans="1:9" ht="14.25" customHeight="1">
      <c r="A509" s="6"/>
      <c r="B509" s="6"/>
      <c r="C509" s="9"/>
      <c r="D509" s="6"/>
      <c r="E509" s="6"/>
      <c r="F509" s="6"/>
      <c r="G509" s="18"/>
      <c r="H509" s="6"/>
      <c r="I509" s="9"/>
    </row>
    <row r="510" spans="1:9" ht="14.25" customHeight="1">
      <c r="A510" s="6"/>
      <c r="B510" s="6"/>
      <c r="C510" s="9"/>
      <c r="D510" s="6"/>
      <c r="E510" s="6"/>
      <c r="F510" s="6"/>
      <c r="G510" s="18"/>
      <c r="H510" s="6"/>
      <c r="I510" s="9"/>
    </row>
    <row r="511" spans="1:9" ht="14.25" customHeight="1">
      <c r="A511" s="6"/>
      <c r="B511" s="6"/>
      <c r="C511" s="9"/>
      <c r="D511" s="6"/>
      <c r="E511" s="6"/>
      <c r="F511" s="6"/>
      <c r="G511" s="18"/>
      <c r="H511" s="6"/>
      <c r="I511" s="9"/>
    </row>
    <row r="512" spans="1:9" ht="14.25" customHeight="1">
      <c r="A512" s="6"/>
      <c r="B512" s="6"/>
      <c r="C512" s="9"/>
      <c r="D512" s="6"/>
      <c r="E512" s="6"/>
      <c r="F512" s="6"/>
      <c r="G512" s="18"/>
      <c r="H512" s="6"/>
      <c r="I512" s="9"/>
    </row>
    <row r="513" spans="1:9" ht="14.25" customHeight="1">
      <c r="A513" s="6"/>
      <c r="B513" s="6"/>
      <c r="C513" s="9"/>
      <c r="D513" s="6"/>
      <c r="E513" s="6"/>
      <c r="F513" s="6"/>
      <c r="G513" s="18"/>
      <c r="H513" s="6"/>
      <c r="I513" s="9"/>
    </row>
    <row r="514" spans="1:9" ht="14.25" customHeight="1">
      <c r="A514" s="6"/>
      <c r="B514" s="6"/>
      <c r="C514" s="9"/>
      <c r="D514" s="6"/>
      <c r="E514" s="6"/>
      <c r="F514" s="6"/>
      <c r="G514" s="18"/>
      <c r="H514" s="6"/>
      <c r="I514" s="9"/>
    </row>
    <row r="515" spans="1:9" ht="14.25" customHeight="1">
      <c r="A515" s="6"/>
      <c r="B515" s="6"/>
      <c r="C515" s="9"/>
      <c r="D515" s="6"/>
      <c r="E515" s="6"/>
      <c r="F515" s="6"/>
      <c r="G515" s="18"/>
      <c r="H515" s="6"/>
      <c r="I515" s="9"/>
    </row>
    <row r="516" spans="1:9" ht="14.25" customHeight="1">
      <c r="A516" s="6"/>
      <c r="B516" s="6"/>
      <c r="C516" s="9"/>
      <c r="D516" s="6"/>
      <c r="E516" s="6"/>
      <c r="F516" s="6"/>
      <c r="G516" s="18"/>
      <c r="H516" s="6"/>
      <c r="I516" s="9"/>
    </row>
    <row r="517" spans="1:9" ht="14.25" customHeight="1">
      <c r="A517" s="6"/>
      <c r="B517" s="6"/>
      <c r="C517" s="9"/>
      <c r="D517" s="6"/>
      <c r="E517" s="6"/>
      <c r="F517" s="6"/>
      <c r="G517" s="18"/>
      <c r="H517" s="6"/>
      <c r="I517" s="9"/>
    </row>
    <row r="518" spans="1:9" ht="14.25" customHeight="1">
      <c r="A518" s="6"/>
      <c r="B518" s="6"/>
      <c r="C518" s="9"/>
      <c r="D518" s="6"/>
      <c r="E518" s="6"/>
      <c r="F518" s="6"/>
      <c r="G518" s="18"/>
      <c r="H518" s="6"/>
      <c r="I518" s="9"/>
    </row>
    <row r="519" spans="1:9" ht="14.25" customHeight="1">
      <c r="A519" s="6"/>
      <c r="B519" s="6"/>
      <c r="C519" s="9"/>
      <c r="D519" s="6"/>
      <c r="E519" s="6"/>
      <c r="F519" s="6"/>
      <c r="G519" s="18"/>
      <c r="H519" s="6"/>
      <c r="I519" s="9"/>
    </row>
    <row r="520" spans="1:9" ht="14.25" customHeight="1">
      <c r="A520" s="6"/>
      <c r="B520" s="6"/>
      <c r="C520" s="9"/>
      <c r="D520" s="6"/>
      <c r="E520" s="6"/>
      <c r="F520" s="6"/>
      <c r="G520" s="18"/>
      <c r="H520" s="6"/>
      <c r="I520" s="9"/>
    </row>
    <row r="521" spans="1:9" ht="14.25" customHeight="1">
      <c r="A521" s="6"/>
      <c r="B521" s="6"/>
      <c r="C521" s="9"/>
      <c r="D521" s="6"/>
      <c r="E521" s="6"/>
      <c r="F521" s="6"/>
      <c r="G521" s="18"/>
      <c r="H521" s="6"/>
      <c r="I521" s="9"/>
    </row>
    <row r="522" spans="1:9" ht="14.25" customHeight="1">
      <c r="A522" s="6"/>
      <c r="B522" s="6"/>
      <c r="C522" s="9"/>
      <c r="D522" s="6"/>
      <c r="E522" s="6"/>
      <c r="F522" s="6"/>
      <c r="G522" s="18"/>
      <c r="H522" s="6"/>
      <c r="I522" s="9"/>
    </row>
    <row r="523" spans="1:9" ht="14.25" customHeight="1">
      <c r="A523" s="6"/>
      <c r="B523" s="6"/>
      <c r="C523" s="9"/>
      <c r="D523" s="6"/>
      <c r="E523" s="6"/>
      <c r="F523" s="6"/>
      <c r="G523" s="18"/>
      <c r="H523" s="6"/>
      <c r="I523" s="9"/>
    </row>
    <row r="524" spans="1:9" ht="14.25" customHeight="1">
      <c r="A524" s="6"/>
      <c r="B524" s="6"/>
      <c r="C524" s="9"/>
      <c r="D524" s="6"/>
      <c r="E524" s="6"/>
      <c r="F524" s="6"/>
      <c r="G524" s="18"/>
      <c r="H524" s="6"/>
      <c r="I524" s="9"/>
    </row>
    <row r="525" spans="1:9" ht="14.25" customHeight="1">
      <c r="A525" s="6"/>
      <c r="B525" s="6"/>
      <c r="C525" s="9"/>
      <c r="D525" s="6"/>
      <c r="E525" s="6"/>
      <c r="F525" s="6"/>
      <c r="G525" s="18"/>
      <c r="H525" s="6"/>
      <c r="I525" s="9"/>
    </row>
    <row r="526" spans="1:9" ht="14.25" customHeight="1">
      <c r="A526" s="6"/>
      <c r="B526" s="6"/>
      <c r="C526" s="9"/>
      <c r="D526" s="6"/>
      <c r="E526" s="6"/>
      <c r="F526" s="6"/>
      <c r="G526" s="18"/>
      <c r="H526" s="6"/>
      <c r="I526" s="9"/>
    </row>
    <row r="527" spans="1:9" ht="14.25" customHeight="1">
      <c r="A527" s="6"/>
      <c r="B527" s="6"/>
      <c r="C527" s="9"/>
      <c r="D527" s="6"/>
      <c r="E527" s="6"/>
      <c r="F527" s="6"/>
      <c r="G527" s="18"/>
      <c r="H527" s="6"/>
      <c r="I527" s="9"/>
    </row>
    <row r="528" spans="1:9" ht="14.25" customHeight="1">
      <c r="A528" s="6"/>
      <c r="B528" s="6"/>
      <c r="C528" s="9"/>
      <c r="D528" s="6"/>
      <c r="E528" s="6"/>
      <c r="F528" s="6"/>
      <c r="G528" s="18"/>
      <c r="H528" s="6"/>
      <c r="I528" s="9"/>
    </row>
    <row r="529" spans="1:9" ht="14.25" customHeight="1">
      <c r="A529" s="6"/>
      <c r="B529" s="6"/>
      <c r="C529" s="9"/>
      <c r="D529" s="6"/>
      <c r="E529" s="6"/>
      <c r="F529" s="6"/>
      <c r="G529" s="18"/>
      <c r="H529" s="6"/>
      <c r="I529" s="9"/>
    </row>
    <row r="530" spans="1:9" ht="14.25" customHeight="1">
      <c r="A530" s="6"/>
      <c r="B530" s="6"/>
      <c r="C530" s="9"/>
      <c r="D530" s="6"/>
      <c r="E530" s="6"/>
      <c r="F530" s="6"/>
      <c r="G530" s="18"/>
      <c r="H530" s="6"/>
      <c r="I530" s="9"/>
    </row>
    <row r="531" spans="1:9" ht="14.25" customHeight="1">
      <c r="A531" s="6"/>
      <c r="B531" s="6"/>
      <c r="C531" s="9"/>
      <c r="D531" s="6"/>
      <c r="E531" s="6"/>
      <c r="F531" s="6"/>
      <c r="G531" s="18"/>
      <c r="H531" s="6"/>
      <c r="I531" s="9"/>
    </row>
    <row r="532" spans="1:9" ht="14.25" customHeight="1">
      <c r="A532" s="6"/>
      <c r="B532" s="6"/>
      <c r="C532" s="9"/>
      <c r="D532" s="6"/>
      <c r="E532" s="6"/>
      <c r="F532" s="6"/>
      <c r="G532" s="18"/>
      <c r="H532" s="6"/>
      <c r="I532" s="9"/>
    </row>
    <row r="533" spans="1:9" ht="14.25" customHeight="1">
      <c r="A533" s="6"/>
      <c r="B533" s="6"/>
      <c r="C533" s="9"/>
      <c r="D533" s="6"/>
      <c r="E533" s="6"/>
      <c r="F533" s="6"/>
      <c r="G533" s="18"/>
      <c r="H533" s="6"/>
      <c r="I533" s="9"/>
    </row>
    <row r="534" spans="1:9" ht="14.25" customHeight="1">
      <c r="A534" s="6"/>
      <c r="B534" s="6"/>
      <c r="C534" s="9"/>
      <c r="D534" s="6"/>
      <c r="E534" s="6"/>
      <c r="F534" s="6"/>
      <c r="G534" s="18"/>
      <c r="H534" s="6"/>
      <c r="I534" s="9"/>
    </row>
    <row r="535" spans="1:9" ht="14.25" customHeight="1">
      <c r="A535" s="6"/>
      <c r="B535" s="6"/>
      <c r="C535" s="9"/>
      <c r="D535" s="6"/>
      <c r="E535" s="6"/>
      <c r="F535" s="6"/>
      <c r="G535" s="18"/>
      <c r="H535" s="6"/>
      <c r="I535" s="9"/>
    </row>
    <row r="536" spans="1:9" ht="14.25" customHeight="1">
      <c r="A536" s="6"/>
      <c r="B536" s="6"/>
      <c r="C536" s="9"/>
      <c r="D536" s="6"/>
      <c r="E536" s="6"/>
      <c r="F536" s="6"/>
      <c r="G536" s="18"/>
      <c r="H536" s="6"/>
      <c r="I536" s="9"/>
    </row>
    <row r="537" spans="1:9" ht="14.25" customHeight="1">
      <c r="A537" s="6"/>
      <c r="B537" s="6"/>
      <c r="C537" s="9"/>
      <c r="D537" s="6"/>
      <c r="E537" s="6"/>
      <c r="F537" s="6"/>
      <c r="G537" s="18"/>
      <c r="H537" s="6"/>
      <c r="I537" s="9"/>
    </row>
    <row r="538" spans="1:9" ht="14.25" customHeight="1">
      <c r="A538" s="6"/>
      <c r="B538" s="6"/>
      <c r="C538" s="9"/>
      <c r="D538" s="6"/>
      <c r="E538" s="6"/>
      <c r="F538" s="6"/>
      <c r="G538" s="18"/>
      <c r="H538" s="6"/>
      <c r="I538" s="9"/>
    </row>
    <row r="539" spans="1:9" ht="14.25" customHeight="1">
      <c r="A539" s="6"/>
      <c r="B539" s="6"/>
      <c r="C539" s="9"/>
      <c r="D539" s="6"/>
      <c r="E539" s="6"/>
      <c r="F539" s="6"/>
      <c r="G539" s="18"/>
      <c r="H539" s="6"/>
      <c r="I539" s="9"/>
    </row>
    <row r="540" spans="1:9" ht="14.25" customHeight="1">
      <c r="A540" s="6"/>
      <c r="B540" s="6"/>
      <c r="C540" s="9"/>
      <c r="D540" s="6"/>
      <c r="E540" s="6"/>
      <c r="F540" s="6"/>
      <c r="G540" s="18"/>
      <c r="H540" s="6"/>
      <c r="I540" s="9"/>
    </row>
    <row r="541" spans="1:9" ht="14.25" customHeight="1">
      <c r="A541" s="6"/>
      <c r="B541" s="6"/>
      <c r="C541" s="9"/>
      <c r="D541" s="6"/>
      <c r="E541" s="6"/>
      <c r="F541" s="6"/>
      <c r="G541" s="18"/>
      <c r="H541" s="6"/>
      <c r="I541" s="9"/>
    </row>
    <row r="542" spans="1:9" ht="14.25" customHeight="1">
      <c r="A542" s="6"/>
      <c r="B542" s="6"/>
      <c r="C542" s="9"/>
      <c r="D542" s="6"/>
      <c r="E542" s="6"/>
      <c r="F542" s="6"/>
      <c r="G542" s="18"/>
      <c r="H542" s="6"/>
      <c r="I542" s="9"/>
    </row>
    <row r="543" spans="1:9" ht="14.25" customHeight="1">
      <c r="A543" s="6"/>
      <c r="B543" s="6"/>
      <c r="C543" s="9"/>
      <c r="D543" s="6"/>
      <c r="E543" s="6"/>
      <c r="F543" s="6"/>
      <c r="G543" s="18"/>
      <c r="H543" s="6"/>
      <c r="I543" s="9"/>
    </row>
    <row r="544" spans="1:9" ht="14.25" customHeight="1">
      <c r="A544" s="6"/>
      <c r="B544" s="6"/>
      <c r="C544" s="9"/>
      <c r="D544" s="6"/>
      <c r="E544" s="6"/>
      <c r="F544" s="6"/>
      <c r="G544" s="18"/>
      <c r="H544" s="6"/>
      <c r="I544" s="9"/>
    </row>
    <row r="545" spans="1:9" ht="14.25" customHeight="1">
      <c r="A545" s="6"/>
      <c r="B545" s="6"/>
      <c r="C545" s="9"/>
      <c r="D545" s="6"/>
      <c r="E545" s="6"/>
      <c r="F545" s="6"/>
      <c r="G545" s="18"/>
      <c r="H545" s="6"/>
      <c r="I545" s="9"/>
    </row>
    <row r="546" spans="1:9" ht="14.25" customHeight="1">
      <c r="A546" s="6"/>
      <c r="B546" s="6"/>
      <c r="C546" s="9"/>
      <c r="D546" s="6"/>
      <c r="E546" s="6"/>
      <c r="F546" s="6"/>
      <c r="G546" s="18"/>
      <c r="H546" s="6"/>
      <c r="I546" s="9"/>
    </row>
    <row r="547" spans="1:9" ht="14.25" customHeight="1">
      <c r="A547" s="6"/>
      <c r="B547" s="6"/>
      <c r="C547" s="9"/>
      <c r="D547" s="6"/>
      <c r="E547" s="6"/>
      <c r="F547" s="6"/>
      <c r="G547" s="18"/>
      <c r="H547" s="6"/>
      <c r="I547" s="9"/>
    </row>
    <row r="548" spans="1:9" ht="14.25" customHeight="1">
      <c r="A548" s="6"/>
      <c r="B548" s="6"/>
      <c r="C548" s="9"/>
      <c r="D548" s="6"/>
      <c r="E548" s="6"/>
      <c r="F548" s="6"/>
      <c r="G548" s="18"/>
      <c r="H548" s="6"/>
      <c r="I548" s="9"/>
    </row>
    <row r="549" spans="1:9" ht="14.25" customHeight="1">
      <c r="A549" s="6"/>
      <c r="B549" s="6"/>
      <c r="C549" s="9"/>
      <c r="D549" s="6"/>
      <c r="E549" s="6"/>
      <c r="F549" s="6"/>
      <c r="G549" s="18"/>
      <c r="H549" s="6"/>
      <c r="I549" s="9"/>
    </row>
    <row r="550" spans="1:9" ht="14.25" customHeight="1">
      <c r="A550" s="6"/>
      <c r="B550" s="6"/>
      <c r="C550" s="9"/>
      <c r="D550" s="6"/>
      <c r="E550" s="6"/>
      <c r="F550" s="6"/>
      <c r="G550" s="18"/>
      <c r="H550" s="6"/>
      <c r="I550" s="9"/>
    </row>
    <row r="551" spans="1:9" ht="14.25" customHeight="1"/>
    <row r="552" spans="1:9" ht="14.25" customHeight="1"/>
    <row r="553" spans="1:9" ht="14.25" customHeight="1"/>
    <row r="554" spans="1:9" ht="14.25" customHeight="1"/>
    <row r="555" spans="1:9" ht="14.25" customHeight="1"/>
    <row r="556" spans="1:9" ht="14.25" customHeight="1"/>
    <row r="557" spans="1:9" ht="14.25" customHeight="1"/>
    <row r="558" spans="1:9" ht="14.25" customHeight="1"/>
    <row r="559" spans="1:9" ht="14.25" customHeight="1"/>
    <row r="560" spans="1:9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2:F550">
    <cfRule type="expression" dxfId="11" priority="1">
      <formula>OR($F2="Interested",$F2="Applied")</formula>
    </cfRule>
    <cfRule type="expression" dxfId="10" priority="2">
      <formula>OR($F2="Paperwork In Progress",$F2="Paperwork Complete",$F2="Onboarding / Training")</formula>
    </cfRule>
    <cfRule type="expression" dxfId="9" priority="3">
      <formula>$F2="Ready to Work"</formula>
    </cfRule>
    <cfRule type="expression" dxfId="8" priority="4">
      <formula>$F2="Active"</formula>
    </cfRule>
    <cfRule type="expression" dxfId="7" priority="5">
      <formula>OR($F2="On Hold",$F2="Inactive")</formula>
    </cfRule>
  </conditionalFormatting>
  <dataValidations count="2">
    <dataValidation type="list" allowBlank="1" sqref="H2:H550" xr:uid="{00000000-0002-0000-0500-000001000000}">
      <formula1>"Not Started,Pending,Complete,Cleared,N/A,Not Recorded,Missing,On File,Not Updated"</formula1>
    </dataValidation>
    <dataValidation type="list" allowBlank="1" sqref="F2:F550" xr:uid="{00000000-0002-0000-0500-000002000000}">
      <formula1>"Interested,Applied,Paperwork In Progress,Paperwork Complete,Onboarding / Training,Ready to Work,Active,On Hold,Inactive"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9765625" defaultRowHeight="15" customHeight="1"/>
  <cols>
    <col min="1" max="1" width="7.3984375" customWidth="1"/>
    <col min="2" max="2" width="24" customWidth="1"/>
    <col min="3" max="3" width="19" customWidth="1"/>
    <col min="4" max="4" width="18" customWidth="1"/>
    <col min="5" max="5" width="11.59765625" customWidth="1"/>
    <col min="6" max="6" width="18" customWidth="1"/>
    <col min="7" max="7" width="24" customWidth="1"/>
    <col min="8" max="8" width="21" customWidth="1"/>
    <col min="9" max="9" width="12" customWidth="1"/>
    <col min="10" max="10" width="22" customWidth="1"/>
    <col min="11" max="11" width="16" customWidth="1"/>
    <col min="12" max="12" width="28" customWidth="1"/>
    <col min="13" max="13" width="22" customWidth="1"/>
    <col min="14" max="14" width="16" customWidth="1"/>
    <col min="15" max="15" width="28" customWidth="1"/>
    <col min="16" max="16" width="16" customWidth="1"/>
    <col min="17" max="18" width="14" customWidth="1"/>
    <col min="19" max="19" width="42" customWidth="1"/>
  </cols>
  <sheetData>
    <row r="1" spans="1:19" ht="33.75" customHeight="1">
      <c r="A1" s="1" t="s">
        <v>7</v>
      </c>
      <c r="B1" s="1" t="s">
        <v>10</v>
      </c>
      <c r="C1" s="1" t="s">
        <v>13</v>
      </c>
      <c r="D1" s="1" t="s">
        <v>21</v>
      </c>
      <c r="E1" s="3" t="s">
        <v>24</v>
      </c>
      <c r="F1" s="1" t="s">
        <v>28</v>
      </c>
      <c r="G1" s="1" t="s">
        <v>32</v>
      </c>
      <c r="H1" s="1" t="s">
        <v>34</v>
      </c>
      <c r="I1" s="1" t="s">
        <v>36</v>
      </c>
      <c r="J1" s="1" t="s">
        <v>37</v>
      </c>
      <c r="K1" s="1" t="s">
        <v>39</v>
      </c>
      <c r="L1" s="1" t="s">
        <v>41</v>
      </c>
      <c r="M1" s="1" t="s">
        <v>42</v>
      </c>
      <c r="N1" s="1" t="s">
        <v>44</v>
      </c>
      <c r="O1" s="1" t="s">
        <v>45</v>
      </c>
      <c r="P1" s="1" t="s">
        <v>48</v>
      </c>
      <c r="Q1" s="1" t="s">
        <v>25</v>
      </c>
      <c r="R1" s="1" t="s">
        <v>52</v>
      </c>
      <c r="S1" s="1" t="s">
        <v>26</v>
      </c>
    </row>
    <row r="2" spans="1:19" ht="14.25" customHeight="1">
      <c r="A2" s="29" t="s">
        <v>29</v>
      </c>
      <c r="B2" s="6" t="s">
        <v>409</v>
      </c>
      <c r="C2" s="6" t="s">
        <v>410</v>
      </c>
      <c r="D2" s="6" t="s">
        <v>153</v>
      </c>
      <c r="E2" s="6">
        <v>60647</v>
      </c>
      <c r="F2" s="6" t="s">
        <v>69</v>
      </c>
      <c r="G2" s="6" t="s">
        <v>156</v>
      </c>
      <c r="H2" s="6" t="s">
        <v>74</v>
      </c>
      <c r="I2" s="18">
        <v>46276</v>
      </c>
      <c r="J2" s="6"/>
      <c r="K2" s="6"/>
      <c r="L2" s="9"/>
      <c r="M2" s="6"/>
      <c r="N2" s="6"/>
      <c r="O2" s="9"/>
      <c r="P2" s="6" t="s">
        <v>417</v>
      </c>
      <c r="Q2" s="6" t="s">
        <v>50</v>
      </c>
      <c r="R2" s="18">
        <v>46286</v>
      </c>
      <c r="S2" s="9" t="s">
        <v>954</v>
      </c>
    </row>
    <row r="3" spans="1:19" ht="14.25" customHeight="1">
      <c r="A3" s="29" t="s">
        <v>111</v>
      </c>
      <c r="B3" s="6" t="s">
        <v>425</v>
      </c>
      <c r="C3" s="6" t="s">
        <v>410</v>
      </c>
      <c r="D3" s="6" t="s">
        <v>153</v>
      </c>
      <c r="E3" s="6">
        <v>60647</v>
      </c>
      <c r="F3" s="6" t="s">
        <v>69</v>
      </c>
      <c r="G3" s="6" t="s">
        <v>156</v>
      </c>
      <c r="H3" s="6" t="s">
        <v>74</v>
      </c>
      <c r="I3" s="18">
        <v>46276</v>
      </c>
      <c r="J3" s="6"/>
      <c r="K3" s="6"/>
      <c r="L3" s="9"/>
      <c r="M3" s="6"/>
      <c r="N3" s="6"/>
      <c r="O3" s="9"/>
      <c r="P3" s="6" t="s">
        <v>417</v>
      </c>
      <c r="Q3" s="6" t="s">
        <v>50</v>
      </c>
      <c r="R3" s="18">
        <v>46286</v>
      </c>
      <c r="S3" s="9" t="s">
        <v>955</v>
      </c>
    </row>
    <row r="4" spans="1:19" ht="14.25" customHeight="1">
      <c r="A4" s="29" t="s">
        <v>128</v>
      </c>
      <c r="B4" s="6" t="s">
        <v>278</v>
      </c>
      <c r="C4" s="6" t="s">
        <v>281</v>
      </c>
      <c r="D4" s="6" t="s">
        <v>283</v>
      </c>
      <c r="E4" s="6">
        <v>60089</v>
      </c>
      <c r="F4" s="6" t="s">
        <v>69</v>
      </c>
      <c r="G4" s="6" t="s">
        <v>97</v>
      </c>
      <c r="H4" s="6" t="s">
        <v>74</v>
      </c>
      <c r="I4" s="18">
        <v>46253</v>
      </c>
      <c r="J4" s="6"/>
      <c r="K4" s="6"/>
      <c r="L4" s="9"/>
      <c r="M4" s="6"/>
      <c r="N4" s="6"/>
      <c r="O4" s="9"/>
      <c r="P4" s="6" t="s">
        <v>97</v>
      </c>
      <c r="Q4" s="6" t="s">
        <v>40</v>
      </c>
      <c r="R4" s="18"/>
      <c r="S4" s="9"/>
    </row>
    <row r="5" spans="1:19" ht="14.25" customHeight="1">
      <c r="A5" s="29" t="s">
        <v>148</v>
      </c>
      <c r="B5" s="6" t="s">
        <v>297</v>
      </c>
      <c r="C5" s="6" t="s">
        <v>281</v>
      </c>
      <c r="D5" s="6" t="s">
        <v>283</v>
      </c>
      <c r="E5" s="6">
        <v>60089</v>
      </c>
      <c r="F5" s="6" t="s">
        <v>69</v>
      </c>
      <c r="G5" s="6" t="s">
        <v>97</v>
      </c>
      <c r="H5" s="6" t="s">
        <v>74</v>
      </c>
      <c r="I5" s="18">
        <v>46253</v>
      </c>
      <c r="J5" s="6"/>
      <c r="K5" s="6"/>
      <c r="L5" s="9"/>
      <c r="M5" s="6"/>
      <c r="N5" s="6"/>
      <c r="O5" s="9"/>
      <c r="P5" s="6" t="s">
        <v>97</v>
      </c>
      <c r="Q5" s="6" t="s">
        <v>40</v>
      </c>
      <c r="R5" s="18"/>
      <c r="S5" s="9"/>
    </row>
    <row r="6" spans="1:19" ht="14.25" customHeight="1">
      <c r="A6" s="29" t="s">
        <v>47</v>
      </c>
      <c r="B6" s="6" t="s">
        <v>114</v>
      </c>
      <c r="C6" s="6" t="s">
        <v>115</v>
      </c>
      <c r="D6" s="6" t="s">
        <v>116</v>
      </c>
      <c r="E6" s="6">
        <v>60077</v>
      </c>
      <c r="F6" s="6" t="s">
        <v>69</v>
      </c>
      <c r="G6" s="6" t="s">
        <v>119</v>
      </c>
      <c r="H6" s="6" t="s">
        <v>74</v>
      </c>
      <c r="I6" s="18">
        <v>46184</v>
      </c>
      <c r="J6" s="6"/>
      <c r="K6" s="6"/>
      <c r="L6" s="9"/>
      <c r="M6" s="6"/>
      <c r="N6" s="6"/>
      <c r="O6" s="9"/>
      <c r="P6" s="6"/>
      <c r="Q6" s="6" t="s">
        <v>40</v>
      </c>
      <c r="R6" s="18"/>
      <c r="S6" s="9" t="s">
        <v>956</v>
      </c>
    </row>
    <row r="7" spans="1:19" ht="14.25" customHeight="1">
      <c r="A7" s="29" t="s">
        <v>53</v>
      </c>
      <c r="B7" s="6" t="s">
        <v>130</v>
      </c>
      <c r="C7" s="6" t="s">
        <v>115</v>
      </c>
      <c r="D7" s="6" t="s">
        <v>116</v>
      </c>
      <c r="E7" s="6">
        <v>60077</v>
      </c>
      <c r="F7" s="6" t="s">
        <v>69</v>
      </c>
      <c r="G7" s="6" t="s">
        <v>119</v>
      </c>
      <c r="H7" s="6" t="s">
        <v>74</v>
      </c>
      <c r="I7" s="18">
        <v>46184</v>
      </c>
      <c r="J7" s="6"/>
      <c r="K7" s="6"/>
      <c r="L7" s="9"/>
      <c r="M7" s="6"/>
      <c r="N7" s="6"/>
      <c r="O7" s="9"/>
      <c r="P7" s="6"/>
      <c r="Q7" s="6" t="s">
        <v>40</v>
      </c>
      <c r="R7" s="18"/>
      <c r="S7" s="9"/>
    </row>
    <row r="8" spans="1:19" ht="14.25" customHeight="1">
      <c r="A8" s="29" t="s">
        <v>64</v>
      </c>
      <c r="B8" s="6" t="s">
        <v>228</v>
      </c>
      <c r="C8" s="6" t="s">
        <v>229</v>
      </c>
      <c r="D8" s="6" t="s">
        <v>153</v>
      </c>
      <c r="E8" s="6">
        <v>60660</v>
      </c>
      <c r="F8" s="6" t="s">
        <v>69</v>
      </c>
      <c r="G8" s="6" t="s">
        <v>97</v>
      </c>
      <c r="H8" s="6" t="s">
        <v>74</v>
      </c>
      <c r="I8" s="18">
        <v>46238</v>
      </c>
      <c r="J8" s="6"/>
      <c r="K8" s="6"/>
      <c r="L8" s="9"/>
      <c r="M8" s="6"/>
      <c r="N8" s="6"/>
      <c r="O8" s="9"/>
      <c r="P8" s="6"/>
      <c r="Q8" s="6" t="s">
        <v>40</v>
      </c>
      <c r="R8" s="18"/>
      <c r="S8" s="9"/>
    </row>
    <row r="9" spans="1:19" ht="14.25" customHeight="1">
      <c r="A9" s="29" t="s">
        <v>227</v>
      </c>
      <c r="B9" s="6" t="s">
        <v>150</v>
      </c>
      <c r="C9" s="6" t="s">
        <v>151</v>
      </c>
      <c r="D9" s="6" t="s">
        <v>153</v>
      </c>
      <c r="E9" s="6">
        <v>60618</v>
      </c>
      <c r="F9" s="6" t="s">
        <v>69</v>
      </c>
      <c r="G9" s="6" t="s">
        <v>156</v>
      </c>
      <c r="H9" s="6" t="s">
        <v>74</v>
      </c>
      <c r="I9" s="18">
        <v>46190</v>
      </c>
      <c r="J9" s="6"/>
      <c r="K9" s="6"/>
      <c r="L9" s="9"/>
      <c r="M9" s="6"/>
      <c r="N9" s="6"/>
      <c r="O9" s="9"/>
      <c r="P9" s="6"/>
      <c r="Q9" s="6" t="s">
        <v>40</v>
      </c>
      <c r="R9" s="18"/>
      <c r="S9" s="9" t="s">
        <v>957</v>
      </c>
    </row>
    <row r="10" spans="1:19" ht="14.25" customHeight="1">
      <c r="A10" s="29" t="s">
        <v>241</v>
      </c>
      <c r="B10" s="6" t="s">
        <v>217</v>
      </c>
      <c r="C10" s="6" t="s">
        <v>370</v>
      </c>
      <c r="D10" s="6" t="s">
        <v>153</v>
      </c>
      <c r="E10" s="6">
        <v>60641</v>
      </c>
      <c r="F10" s="6" t="s">
        <v>69</v>
      </c>
      <c r="G10" s="6" t="s">
        <v>97</v>
      </c>
      <c r="H10" s="6" t="s">
        <v>74</v>
      </c>
      <c r="I10" s="18">
        <v>46275</v>
      </c>
      <c r="J10" s="6"/>
      <c r="K10" s="6"/>
      <c r="L10" s="9"/>
      <c r="M10" s="6"/>
      <c r="N10" s="6"/>
      <c r="O10" s="9"/>
      <c r="P10" s="6"/>
      <c r="Q10" s="6" t="s">
        <v>50</v>
      </c>
      <c r="R10" s="18">
        <v>46287</v>
      </c>
      <c r="S10" s="9" t="s">
        <v>958</v>
      </c>
    </row>
    <row r="11" spans="1:19" ht="14.25" customHeight="1">
      <c r="A11" s="29" t="s">
        <v>260</v>
      </c>
      <c r="B11" s="6" t="s">
        <v>434</v>
      </c>
      <c r="C11" s="6" t="s">
        <v>435</v>
      </c>
      <c r="D11" s="6" t="s">
        <v>153</v>
      </c>
      <c r="E11" s="6">
        <v>60640</v>
      </c>
      <c r="F11" s="6" t="s">
        <v>69</v>
      </c>
      <c r="G11" s="6" t="s">
        <v>97</v>
      </c>
      <c r="H11" s="6" t="s">
        <v>74</v>
      </c>
      <c r="I11" s="18">
        <v>46280</v>
      </c>
      <c r="J11" s="6"/>
      <c r="K11" s="6"/>
      <c r="L11" s="9"/>
      <c r="M11" s="6"/>
      <c r="N11" s="6"/>
      <c r="O11" s="9"/>
      <c r="P11" s="6"/>
      <c r="Q11" s="6" t="s">
        <v>40</v>
      </c>
      <c r="R11" s="18"/>
      <c r="S11" s="9"/>
    </row>
    <row r="12" spans="1:19" ht="14.25" customHeight="1">
      <c r="A12" s="29" t="s">
        <v>276</v>
      </c>
      <c r="B12" s="6" t="s">
        <v>214</v>
      </c>
      <c r="C12" s="6" t="s">
        <v>216</v>
      </c>
      <c r="D12" s="6" t="s">
        <v>153</v>
      </c>
      <c r="E12" s="6">
        <v>60618</v>
      </c>
      <c r="F12" s="6" t="s">
        <v>69</v>
      </c>
      <c r="G12" s="6" t="s">
        <v>156</v>
      </c>
      <c r="H12" s="6" t="s">
        <v>74</v>
      </c>
      <c r="I12" s="18">
        <v>46234</v>
      </c>
      <c r="J12" s="6"/>
      <c r="K12" s="6"/>
      <c r="L12" s="9"/>
      <c r="M12" s="6"/>
      <c r="N12" s="6"/>
      <c r="O12" s="9"/>
      <c r="P12" s="6"/>
      <c r="Q12" s="6" t="s">
        <v>40</v>
      </c>
      <c r="R12" s="18"/>
      <c r="S12" s="9" t="s">
        <v>959</v>
      </c>
    </row>
    <row r="13" spans="1:19" ht="14.25" customHeight="1">
      <c r="A13" s="29" t="s">
        <v>295</v>
      </c>
      <c r="B13" s="6" t="s">
        <v>450</v>
      </c>
      <c r="C13" s="6" t="s">
        <v>451</v>
      </c>
      <c r="D13" s="6" t="s">
        <v>153</v>
      </c>
      <c r="E13" s="6">
        <v>60641</v>
      </c>
      <c r="F13" s="6" t="s">
        <v>69</v>
      </c>
      <c r="G13" s="6" t="s">
        <v>97</v>
      </c>
      <c r="H13" s="6" t="s">
        <v>74</v>
      </c>
      <c r="I13" s="18">
        <v>46283</v>
      </c>
      <c r="J13" s="6"/>
      <c r="K13" s="6"/>
      <c r="L13" s="9"/>
      <c r="M13" s="6"/>
      <c r="N13" s="6"/>
      <c r="O13" s="9"/>
      <c r="P13" s="6"/>
      <c r="Q13" s="6" t="s">
        <v>50</v>
      </c>
      <c r="R13" s="18"/>
      <c r="S13" s="9"/>
    </row>
    <row r="14" spans="1:19" ht="14.25" customHeight="1">
      <c r="A14" s="29" t="s">
        <v>309</v>
      </c>
      <c r="B14" s="6" t="s">
        <v>243</v>
      </c>
      <c r="C14" s="6" t="s">
        <v>245</v>
      </c>
      <c r="D14" s="6" t="s">
        <v>153</v>
      </c>
      <c r="E14" s="6">
        <v>60625</v>
      </c>
      <c r="F14" s="6" t="s">
        <v>69</v>
      </c>
      <c r="G14" s="6" t="s">
        <v>156</v>
      </c>
      <c r="H14" s="6" t="s">
        <v>74</v>
      </c>
      <c r="I14" s="18">
        <v>46241</v>
      </c>
      <c r="J14" s="6"/>
      <c r="K14" s="6"/>
      <c r="L14" s="9"/>
      <c r="M14" s="6"/>
      <c r="N14" s="6"/>
      <c r="O14" s="9"/>
      <c r="P14" s="6"/>
      <c r="Q14" s="6" t="s">
        <v>50</v>
      </c>
      <c r="R14" s="18"/>
      <c r="S14" s="9" t="s">
        <v>960</v>
      </c>
    </row>
    <row r="15" spans="1:19" ht="14.25" customHeight="1">
      <c r="A15" s="29" t="s">
        <v>327</v>
      </c>
      <c r="B15" s="6" t="s">
        <v>441</v>
      </c>
      <c r="C15" s="6" t="s">
        <v>442</v>
      </c>
      <c r="D15" s="6" t="s">
        <v>153</v>
      </c>
      <c r="E15" s="6">
        <v>60630</v>
      </c>
      <c r="F15" s="6" t="s">
        <v>69</v>
      </c>
      <c r="G15" s="6" t="s">
        <v>156</v>
      </c>
      <c r="H15" s="6" t="s">
        <v>74</v>
      </c>
      <c r="I15" s="18">
        <v>46280</v>
      </c>
      <c r="J15" s="6"/>
      <c r="K15" s="6"/>
      <c r="L15" s="9"/>
      <c r="M15" s="6"/>
      <c r="N15" s="6"/>
      <c r="O15" s="9"/>
      <c r="P15" s="6"/>
      <c r="Q15" s="6" t="s">
        <v>50</v>
      </c>
      <c r="R15" s="18">
        <v>46287</v>
      </c>
      <c r="S15" s="9" t="s">
        <v>961</v>
      </c>
    </row>
    <row r="16" spans="1:19" ht="14.25" customHeight="1">
      <c r="A16" s="29" t="s">
        <v>348</v>
      </c>
      <c r="B16" s="6" t="s">
        <v>300</v>
      </c>
      <c r="C16" s="6" t="s">
        <v>311</v>
      </c>
      <c r="D16" s="6" t="s">
        <v>314</v>
      </c>
      <c r="E16" s="6">
        <v>60169</v>
      </c>
      <c r="F16" s="6" t="s">
        <v>69</v>
      </c>
      <c r="G16" s="6" t="s">
        <v>316</v>
      </c>
      <c r="H16" s="6" t="s">
        <v>74</v>
      </c>
      <c r="I16" s="18">
        <v>46254</v>
      </c>
      <c r="J16" s="6"/>
      <c r="K16" s="6"/>
      <c r="L16" s="9"/>
      <c r="M16" s="6"/>
      <c r="N16" s="6"/>
      <c r="O16" s="9"/>
      <c r="P16" s="6"/>
      <c r="Q16" s="6" t="s">
        <v>57</v>
      </c>
      <c r="R16" s="18">
        <v>46286</v>
      </c>
      <c r="S16" s="9" t="s">
        <v>326</v>
      </c>
    </row>
    <row r="17" spans="1:19" ht="14.25" customHeight="1">
      <c r="A17" s="29" t="s">
        <v>73</v>
      </c>
      <c r="B17" s="6" t="s">
        <v>962</v>
      </c>
      <c r="C17" s="6" t="s">
        <v>62</v>
      </c>
      <c r="D17" s="6" t="s">
        <v>65</v>
      </c>
      <c r="E17" s="6">
        <v>60586</v>
      </c>
      <c r="F17" s="6" t="s">
        <v>69</v>
      </c>
      <c r="G17" s="6" t="s">
        <v>71</v>
      </c>
      <c r="H17" s="6" t="s">
        <v>74</v>
      </c>
      <c r="I17" s="18">
        <v>46153</v>
      </c>
      <c r="J17" s="6"/>
      <c r="K17" s="6"/>
      <c r="L17" s="9"/>
      <c r="M17" s="6"/>
      <c r="N17" s="6"/>
      <c r="O17" s="9"/>
      <c r="P17" s="6"/>
      <c r="Q17" s="6" t="s">
        <v>40</v>
      </c>
      <c r="R17" s="18"/>
      <c r="S17" s="9"/>
    </row>
    <row r="18" spans="1:19" ht="14.25" customHeight="1">
      <c r="A18" s="29" t="s">
        <v>388</v>
      </c>
      <c r="B18" s="6" t="s">
        <v>328</v>
      </c>
      <c r="C18" s="6" t="s">
        <v>330</v>
      </c>
      <c r="D18" s="6" t="s">
        <v>334</v>
      </c>
      <c r="E18" s="6"/>
      <c r="F18" s="6"/>
      <c r="G18" s="6"/>
      <c r="H18" s="6" t="s">
        <v>74</v>
      </c>
      <c r="I18" s="18">
        <v>46265</v>
      </c>
      <c r="J18" s="6"/>
      <c r="K18" s="6"/>
      <c r="L18" s="9"/>
      <c r="M18" s="6"/>
      <c r="N18" s="6"/>
      <c r="O18" s="9"/>
      <c r="P18" s="6"/>
      <c r="Q18" s="6" t="s">
        <v>50</v>
      </c>
      <c r="R18" s="18"/>
      <c r="S18" s="9" t="s">
        <v>963</v>
      </c>
    </row>
    <row r="19" spans="1:19" ht="14.25" customHeight="1">
      <c r="A19" s="29" t="s">
        <v>407</v>
      </c>
      <c r="B19" s="6" t="s">
        <v>390</v>
      </c>
      <c r="C19" s="6" t="s">
        <v>391</v>
      </c>
      <c r="D19" s="6" t="s">
        <v>392</v>
      </c>
      <c r="E19" s="6">
        <v>60614</v>
      </c>
      <c r="F19" s="6" t="s">
        <v>69</v>
      </c>
      <c r="G19" s="6" t="s">
        <v>119</v>
      </c>
      <c r="H19" s="6" t="s">
        <v>74</v>
      </c>
      <c r="I19" s="18">
        <v>46275</v>
      </c>
      <c r="J19" s="6"/>
      <c r="K19" s="6"/>
      <c r="L19" s="9"/>
      <c r="M19" s="6"/>
      <c r="N19" s="6"/>
      <c r="O19" s="9"/>
      <c r="P19" s="6"/>
      <c r="Q19" s="6" t="s">
        <v>50</v>
      </c>
      <c r="R19" s="18">
        <v>46287</v>
      </c>
      <c r="S19" s="9" t="s">
        <v>964</v>
      </c>
    </row>
    <row r="20" spans="1:19" ht="14.25" customHeight="1">
      <c r="A20" s="29" t="s">
        <v>423</v>
      </c>
      <c r="B20" s="6" t="s">
        <v>89</v>
      </c>
      <c r="C20" s="6" t="s">
        <v>91</v>
      </c>
      <c r="D20" s="6" t="s">
        <v>93</v>
      </c>
      <c r="E20" s="6">
        <v>60070</v>
      </c>
      <c r="F20" s="6" t="s">
        <v>69</v>
      </c>
      <c r="G20" s="6" t="s">
        <v>97</v>
      </c>
      <c r="H20" s="6" t="s">
        <v>74</v>
      </c>
      <c r="I20" s="18">
        <v>46181</v>
      </c>
      <c r="J20" s="6" t="s">
        <v>100</v>
      </c>
      <c r="K20" s="6" t="s">
        <v>103</v>
      </c>
      <c r="L20" s="9"/>
      <c r="M20" s="6"/>
      <c r="N20" s="6"/>
      <c r="O20" s="9"/>
      <c r="P20" s="6"/>
      <c r="Q20" s="6" t="s">
        <v>40</v>
      </c>
      <c r="R20" s="18"/>
      <c r="S20" s="9" t="s">
        <v>965</v>
      </c>
    </row>
    <row r="21" spans="1:19" ht="14.25" customHeight="1">
      <c r="A21" s="29" t="s">
        <v>76</v>
      </c>
      <c r="B21" s="6" t="s">
        <v>169</v>
      </c>
      <c r="C21" s="6" t="s">
        <v>171</v>
      </c>
      <c r="D21" s="6" t="s">
        <v>173</v>
      </c>
      <c r="E21" s="6">
        <v>60053</v>
      </c>
      <c r="F21" s="6" t="s">
        <v>69</v>
      </c>
      <c r="G21" s="6" t="s">
        <v>119</v>
      </c>
      <c r="H21" s="6" t="s">
        <v>74</v>
      </c>
      <c r="I21" s="18">
        <v>46213</v>
      </c>
      <c r="J21" s="6"/>
      <c r="K21" s="6"/>
      <c r="L21" s="9"/>
      <c r="M21" s="6"/>
      <c r="N21" s="6"/>
      <c r="O21" s="9"/>
      <c r="P21" s="6"/>
      <c r="Q21" s="6" t="s">
        <v>40</v>
      </c>
      <c r="R21" s="18"/>
      <c r="S21" s="9" t="s">
        <v>966</v>
      </c>
    </row>
    <row r="22" spans="1:19" ht="14.25" customHeight="1">
      <c r="A22" s="29" t="s">
        <v>440</v>
      </c>
      <c r="B22" s="6" t="s">
        <v>189</v>
      </c>
      <c r="C22" s="6" t="s">
        <v>191</v>
      </c>
      <c r="D22" s="6" t="s">
        <v>153</v>
      </c>
      <c r="E22" s="6">
        <v>60659</v>
      </c>
      <c r="F22" s="6" t="s">
        <v>193</v>
      </c>
      <c r="G22" s="6" t="s">
        <v>196</v>
      </c>
      <c r="H22" s="6" t="s">
        <v>74</v>
      </c>
      <c r="I22" s="18">
        <v>46216</v>
      </c>
      <c r="J22" s="6" t="s">
        <v>199</v>
      </c>
      <c r="K22" s="6" t="s">
        <v>200</v>
      </c>
      <c r="L22" s="9"/>
      <c r="M22" s="6"/>
      <c r="N22" s="6"/>
      <c r="O22" s="9"/>
      <c r="P22" s="6"/>
      <c r="Q22" s="6" t="s">
        <v>40</v>
      </c>
      <c r="R22" s="18"/>
      <c r="S22" s="9" t="s">
        <v>967</v>
      </c>
    </row>
    <row r="23" spans="1:19" ht="14.25" customHeight="1">
      <c r="A23" s="29" t="s">
        <v>444</v>
      </c>
      <c r="B23" s="6" t="s">
        <v>350</v>
      </c>
      <c r="C23" s="6" t="s">
        <v>351</v>
      </c>
      <c r="D23" s="6" t="s">
        <v>353</v>
      </c>
      <c r="E23" s="6">
        <v>60102</v>
      </c>
      <c r="F23" s="6" t="s">
        <v>69</v>
      </c>
      <c r="G23" s="6" t="s">
        <v>357</v>
      </c>
      <c r="H23" s="6" t="s">
        <v>74</v>
      </c>
      <c r="I23" s="18">
        <v>46267</v>
      </c>
      <c r="J23" s="6"/>
      <c r="K23" s="6"/>
      <c r="L23" s="9"/>
      <c r="M23" s="6"/>
      <c r="N23" s="6"/>
      <c r="O23" s="9"/>
      <c r="P23" s="6"/>
      <c r="Q23" s="6" t="s">
        <v>50</v>
      </c>
      <c r="R23" s="18"/>
      <c r="S23" s="9"/>
    </row>
    <row r="24" spans="1:19" ht="14.25" customHeight="1">
      <c r="A24" s="29" t="s">
        <v>447</v>
      </c>
      <c r="B24" s="6" t="s">
        <v>262</v>
      </c>
      <c r="C24" s="6" t="s">
        <v>263</v>
      </c>
      <c r="D24" s="6" t="s">
        <v>153</v>
      </c>
      <c r="E24" s="6">
        <v>60645</v>
      </c>
      <c r="F24" s="6" t="s">
        <v>69</v>
      </c>
      <c r="G24" s="6" t="s">
        <v>97</v>
      </c>
      <c r="H24" s="6" t="s">
        <v>74</v>
      </c>
      <c r="I24" s="18">
        <v>46244</v>
      </c>
      <c r="J24" s="6"/>
      <c r="K24" s="6"/>
      <c r="L24" s="9"/>
      <c r="M24" s="6"/>
      <c r="N24" s="6"/>
      <c r="O24" s="9"/>
      <c r="P24" s="6"/>
      <c r="Q24" s="6" t="s">
        <v>40</v>
      </c>
      <c r="R24" s="18"/>
      <c r="S24" s="9" t="s">
        <v>968</v>
      </c>
    </row>
    <row r="25" spans="1:19" ht="14.25" customHeight="1">
      <c r="A25" s="29" t="s">
        <v>449</v>
      </c>
      <c r="B25" s="6" t="s">
        <v>445</v>
      </c>
      <c r="C25" s="6" t="s">
        <v>446</v>
      </c>
      <c r="D25" s="6" t="s">
        <v>153</v>
      </c>
      <c r="E25" s="6">
        <v>60645</v>
      </c>
      <c r="F25" s="6" t="s">
        <v>69</v>
      </c>
      <c r="G25" s="6" t="s">
        <v>97</v>
      </c>
      <c r="H25" s="6" t="s">
        <v>74</v>
      </c>
      <c r="I25" s="18">
        <v>46280</v>
      </c>
      <c r="J25" s="6"/>
      <c r="K25" s="6"/>
      <c r="L25" s="9"/>
      <c r="M25" s="6"/>
      <c r="N25" s="6"/>
      <c r="O25" s="9"/>
      <c r="P25" s="6"/>
      <c r="Q25" s="6" t="s">
        <v>50</v>
      </c>
      <c r="R25" s="18">
        <v>46287</v>
      </c>
      <c r="S25" s="9" t="s">
        <v>969</v>
      </c>
    </row>
    <row r="26" spans="1:19" ht="14.25" customHeight="1">
      <c r="A26" s="29" t="s">
        <v>452</v>
      </c>
      <c r="B26" s="6" t="s">
        <v>448</v>
      </c>
      <c r="C26" s="6" t="s">
        <v>446</v>
      </c>
      <c r="D26" s="6" t="s">
        <v>153</v>
      </c>
      <c r="E26" s="6">
        <v>60645</v>
      </c>
      <c r="F26" s="6" t="s">
        <v>69</v>
      </c>
      <c r="G26" s="6" t="s">
        <v>97</v>
      </c>
      <c r="H26" s="6" t="s">
        <v>74</v>
      </c>
      <c r="I26" s="18">
        <v>46280</v>
      </c>
      <c r="J26" s="6"/>
      <c r="K26" s="6"/>
      <c r="L26" s="9"/>
      <c r="M26" s="6"/>
      <c r="N26" s="6"/>
      <c r="O26" s="9"/>
      <c r="P26" s="6"/>
      <c r="Q26" s="6" t="s">
        <v>50</v>
      </c>
      <c r="R26" s="18">
        <v>46287</v>
      </c>
      <c r="S26" s="9" t="s">
        <v>970</v>
      </c>
    </row>
    <row r="27" spans="1:19" ht="14.25" customHeight="1">
      <c r="A27" s="29" t="s">
        <v>456</v>
      </c>
      <c r="B27" s="6" t="s">
        <v>457</v>
      </c>
      <c r="C27" s="6"/>
      <c r="D27" s="6" t="s">
        <v>458</v>
      </c>
      <c r="E27" s="6"/>
      <c r="F27" s="6"/>
      <c r="G27" s="6"/>
      <c r="H27" s="6" t="s">
        <v>459</v>
      </c>
      <c r="I27" s="18"/>
      <c r="J27" s="6"/>
      <c r="K27" s="6"/>
      <c r="L27" s="9"/>
      <c r="M27" s="6"/>
      <c r="N27" s="6"/>
      <c r="O27" s="9"/>
      <c r="P27" s="6"/>
      <c r="Q27" s="6" t="s">
        <v>40</v>
      </c>
      <c r="R27" s="18"/>
      <c r="S27" s="9" t="s">
        <v>460</v>
      </c>
    </row>
    <row r="28" spans="1:19" ht="14.25" customHeight="1">
      <c r="A28" s="29" t="s">
        <v>461</v>
      </c>
      <c r="B28" s="6" t="s">
        <v>971</v>
      </c>
      <c r="C28" s="6" t="s">
        <v>462</v>
      </c>
      <c r="D28" s="6" t="s">
        <v>153</v>
      </c>
      <c r="E28" s="6">
        <v>60613</v>
      </c>
      <c r="F28" s="6"/>
      <c r="G28" s="6"/>
      <c r="H28" s="6" t="s">
        <v>459</v>
      </c>
      <c r="I28" s="18">
        <v>46287</v>
      </c>
      <c r="J28" s="6"/>
      <c r="K28" s="6"/>
      <c r="L28" s="9"/>
      <c r="M28" s="6"/>
      <c r="N28" s="6"/>
      <c r="O28" s="9"/>
      <c r="P28" s="6"/>
      <c r="Q28" s="6" t="s">
        <v>50</v>
      </c>
      <c r="R28" s="18"/>
      <c r="S28" s="9"/>
    </row>
    <row r="29" spans="1:19" ht="14.25" customHeight="1">
      <c r="A29" s="29" t="s">
        <v>81</v>
      </c>
      <c r="B29" s="6" t="s">
        <v>205</v>
      </c>
      <c r="C29" s="6" t="s">
        <v>465</v>
      </c>
      <c r="D29" s="6"/>
      <c r="E29" s="6"/>
      <c r="F29" s="6"/>
      <c r="G29" s="6"/>
      <c r="H29" s="6" t="s">
        <v>459</v>
      </c>
      <c r="I29" s="18"/>
      <c r="J29" s="6"/>
      <c r="K29" s="6"/>
      <c r="L29" s="9"/>
      <c r="M29" s="6"/>
      <c r="N29" s="6"/>
      <c r="O29" s="9"/>
      <c r="P29" s="6"/>
      <c r="Q29" s="6" t="s">
        <v>50</v>
      </c>
      <c r="R29" s="18"/>
      <c r="S29" s="9"/>
    </row>
    <row r="30" spans="1:19" ht="14.25" customHeight="1">
      <c r="A30" s="29" t="s">
        <v>86</v>
      </c>
      <c r="B30" s="6" t="s">
        <v>453</v>
      </c>
      <c r="C30" s="6" t="s">
        <v>454</v>
      </c>
      <c r="D30" s="6" t="s">
        <v>153</v>
      </c>
      <c r="E30" s="6">
        <v>60610</v>
      </c>
      <c r="F30" s="6"/>
      <c r="G30" s="6" t="s">
        <v>455</v>
      </c>
      <c r="H30" s="6" t="s">
        <v>74</v>
      </c>
      <c r="I30" s="18">
        <v>46287</v>
      </c>
      <c r="J30" s="6"/>
      <c r="K30" s="6"/>
      <c r="L30" s="9"/>
      <c r="M30" s="6"/>
      <c r="N30" s="6"/>
      <c r="O30" s="9"/>
      <c r="P30" s="6"/>
      <c r="Q30" s="6" t="s">
        <v>40</v>
      </c>
      <c r="R30" s="18"/>
      <c r="S30" s="9"/>
    </row>
    <row r="31" spans="1:19" ht="14.25" customHeight="1">
      <c r="A31" s="29"/>
      <c r="B31" s="6"/>
      <c r="C31" s="6"/>
      <c r="D31" s="6"/>
      <c r="E31" s="6"/>
      <c r="F31" s="6"/>
      <c r="G31" s="6"/>
      <c r="H31" s="6"/>
      <c r="I31" s="18"/>
      <c r="J31" s="6"/>
      <c r="K31" s="6"/>
      <c r="L31" s="9"/>
      <c r="M31" s="6"/>
      <c r="N31" s="6"/>
      <c r="O31" s="9"/>
      <c r="P31" s="6"/>
      <c r="Q31" s="6"/>
      <c r="R31" s="18"/>
      <c r="S31" s="9"/>
    </row>
    <row r="32" spans="1:19" ht="14.25" customHeight="1">
      <c r="A32" s="29"/>
      <c r="B32" s="6"/>
      <c r="C32" s="6"/>
      <c r="D32" s="6"/>
      <c r="E32" s="6"/>
      <c r="F32" s="6"/>
      <c r="G32" s="6"/>
      <c r="H32" s="6"/>
      <c r="I32" s="18"/>
      <c r="J32" s="6"/>
      <c r="K32" s="6"/>
      <c r="L32" s="9"/>
      <c r="M32" s="6"/>
      <c r="N32" s="6"/>
      <c r="O32" s="9"/>
      <c r="P32" s="6"/>
      <c r="Q32" s="6"/>
      <c r="R32" s="18"/>
      <c r="S32" s="9"/>
    </row>
    <row r="33" spans="1:19" ht="14.25" customHeight="1">
      <c r="A33" s="29"/>
      <c r="B33" s="6"/>
      <c r="C33" s="6"/>
      <c r="D33" s="6"/>
      <c r="E33" s="6"/>
      <c r="F33" s="6"/>
      <c r="G33" s="6"/>
      <c r="H33" s="6"/>
      <c r="I33" s="18"/>
      <c r="J33" s="6"/>
      <c r="K33" s="6"/>
      <c r="L33" s="9"/>
      <c r="M33" s="6"/>
      <c r="N33" s="6"/>
      <c r="O33" s="9"/>
      <c r="P33" s="6"/>
      <c r="Q33" s="6"/>
      <c r="R33" s="18"/>
      <c r="S33" s="9"/>
    </row>
    <row r="34" spans="1:19" ht="14.25" customHeight="1">
      <c r="A34" s="29"/>
      <c r="B34" s="6"/>
      <c r="C34" s="6"/>
      <c r="D34" s="6"/>
      <c r="E34" s="6"/>
      <c r="F34" s="6"/>
      <c r="G34" s="6"/>
      <c r="H34" s="6"/>
      <c r="I34" s="18"/>
      <c r="J34" s="6"/>
      <c r="K34" s="6"/>
      <c r="L34" s="9"/>
      <c r="M34" s="6"/>
      <c r="N34" s="6"/>
      <c r="O34" s="9"/>
      <c r="P34" s="6"/>
      <c r="Q34" s="6"/>
      <c r="R34" s="18"/>
      <c r="S34" s="9"/>
    </row>
    <row r="35" spans="1:19" ht="14.25" customHeight="1">
      <c r="A35" s="29"/>
      <c r="B35" s="6"/>
      <c r="C35" s="6"/>
      <c r="D35" s="6"/>
      <c r="E35" s="6"/>
      <c r="F35" s="6"/>
      <c r="G35" s="6"/>
      <c r="H35" s="6"/>
      <c r="I35" s="18"/>
      <c r="J35" s="6"/>
      <c r="K35" s="6"/>
      <c r="L35" s="9"/>
      <c r="M35" s="6"/>
      <c r="N35" s="6"/>
      <c r="O35" s="9"/>
      <c r="P35" s="6"/>
      <c r="Q35" s="6"/>
      <c r="R35" s="18"/>
      <c r="S35" s="9"/>
    </row>
    <row r="36" spans="1:19" ht="14.25" customHeight="1">
      <c r="A36" s="29"/>
      <c r="B36" s="6"/>
      <c r="C36" s="6"/>
      <c r="D36" s="6"/>
      <c r="E36" s="6"/>
      <c r="F36" s="6"/>
      <c r="G36" s="6"/>
      <c r="H36" s="6"/>
      <c r="I36" s="18"/>
      <c r="J36" s="6"/>
      <c r="K36" s="6"/>
      <c r="L36" s="9"/>
      <c r="M36" s="6"/>
      <c r="N36" s="6"/>
      <c r="O36" s="9"/>
      <c r="P36" s="6"/>
      <c r="Q36" s="6"/>
      <c r="R36" s="18"/>
      <c r="S36" s="9"/>
    </row>
    <row r="37" spans="1:19" ht="14.25" customHeight="1">
      <c r="A37" s="29"/>
      <c r="B37" s="6"/>
      <c r="C37" s="6"/>
      <c r="D37" s="6"/>
      <c r="E37" s="6"/>
      <c r="F37" s="6"/>
      <c r="G37" s="6"/>
      <c r="H37" s="6"/>
      <c r="I37" s="18"/>
      <c r="J37" s="6"/>
      <c r="K37" s="6"/>
      <c r="L37" s="9"/>
      <c r="M37" s="6"/>
      <c r="N37" s="6"/>
      <c r="O37" s="9"/>
      <c r="P37" s="6"/>
      <c r="Q37" s="6"/>
      <c r="R37" s="18"/>
      <c r="S37" s="9"/>
    </row>
    <row r="38" spans="1:19" ht="14.25" customHeight="1">
      <c r="A38" s="29"/>
      <c r="B38" s="6"/>
      <c r="C38" s="6"/>
      <c r="D38" s="6"/>
      <c r="E38" s="6"/>
      <c r="F38" s="6"/>
      <c r="G38" s="6"/>
      <c r="H38" s="6"/>
      <c r="I38" s="18"/>
      <c r="J38" s="6"/>
      <c r="K38" s="6"/>
      <c r="L38" s="9"/>
      <c r="M38" s="6"/>
      <c r="N38" s="6"/>
      <c r="O38" s="9"/>
      <c r="P38" s="6"/>
      <c r="Q38" s="6"/>
      <c r="R38" s="18"/>
      <c r="S38" s="9"/>
    </row>
    <row r="39" spans="1:19" ht="14.25" customHeight="1">
      <c r="A39" s="29"/>
      <c r="B39" s="6"/>
      <c r="C39" s="6"/>
      <c r="D39" s="6"/>
      <c r="E39" s="6"/>
      <c r="F39" s="6"/>
      <c r="G39" s="6"/>
      <c r="H39" s="6"/>
      <c r="I39" s="18"/>
      <c r="J39" s="6"/>
      <c r="K39" s="6"/>
      <c r="L39" s="9"/>
      <c r="M39" s="6"/>
      <c r="N39" s="6"/>
      <c r="O39" s="9"/>
      <c r="P39" s="6"/>
      <c r="Q39" s="6"/>
      <c r="R39" s="18"/>
      <c r="S39" s="9"/>
    </row>
    <row r="40" spans="1:19" ht="14.25" customHeight="1">
      <c r="A40" s="29"/>
      <c r="B40" s="6"/>
      <c r="C40" s="6"/>
      <c r="D40" s="6"/>
      <c r="E40" s="6"/>
      <c r="F40" s="6"/>
      <c r="G40" s="6"/>
      <c r="H40" s="6"/>
      <c r="I40" s="18"/>
      <c r="J40" s="6"/>
      <c r="K40" s="6"/>
      <c r="L40" s="9"/>
      <c r="M40" s="6"/>
      <c r="N40" s="6"/>
      <c r="O40" s="9"/>
      <c r="P40" s="6"/>
      <c r="Q40" s="6"/>
      <c r="R40" s="18"/>
      <c r="S40" s="9"/>
    </row>
    <row r="41" spans="1:19" ht="14.25" customHeight="1">
      <c r="A41" s="29"/>
      <c r="B41" s="6" t="s">
        <v>972</v>
      </c>
      <c r="C41" s="6"/>
      <c r="D41" s="6"/>
      <c r="E41" s="6"/>
      <c r="F41" s="6" t="s">
        <v>973</v>
      </c>
      <c r="G41" s="6" t="s">
        <v>97</v>
      </c>
      <c r="H41" s="6" t="s">
        <v>74</v>
      </c>
      <c r="I41" s="18">
        <v>46126</v>
      </c>
      <c r="J41" s="6"/>
      <c r="K41" s="6"/>
      <c r="L41" s="9"/>
      <c r="M41" s="6"/>
      <c r="N41" s="6"/>
      <c r="O41" s="9"/>
      <c r="P41" s="6"/>
      <c r="Q41" s="6" t="s">
        <v>50</v>
      </c>
      <c r="R41" s="18"/>
      <c r="S41" s="9"/>
    </row>
    <row r="42" spans="1:19" ht="14.25" customHeight="1">
      <c r="A42" s="29"/>
      <c r="B42" s="6" t="s">
        <v>974</v>
      </c>
      <c r="C42" s="6" t="s">
        <v>975</v>
      </c>
      <c r="D42" s="6" t="s">
        <v>153</v>
      </c>
      <c r="E42" s="6"/>
      <c r="F42" s="6" t="s">
        <v>973</v>
      </c>
      <c r="G42" s="6" t="s">
        <v>156</v>
      </c>
      <c r="H42" s="6" t="s">
        <v>74</v>
      </c>
      <c r="I42" s="18">
        <v>46108</v>
      </c>
      <c r="J42" s="6"/>
      <c r="K42" s="6"/>
      <c r="L42" s="9"/>
      <c r="M42" s="6"/>
      <c r="N42" s="6"/>
      <c r="O42" s="9"/>
      <c r="P42" s="6"/>
      <c r="Q42" s="6" t="s">
        <v>50</v>
      </c>
      <c r="R42" s="18"/>
      <c r="S42" s="9" t="s">
        <v>976</v>
      </c>
    </row>
    <row r="43" spans="1:19" ht="14.25" customHeight="1">
      <c r="A43" s="29"/>
      <c r="B43" s="6" t="s">
        <v>977</v>
      </c>
      <c r="C43" s="6"/>
      <c r="D43" s="6" t="s">
        <v>173</v>
      </c>
      <c r="E43" s="6"/>
      <c r="F43" s="6" t="s">
        <v>978</v>
      </c>
      <c r="G43" s="6" t="s">
        <v>119</v>
      </c>
      <c r="H43" s="6" t="s">
        <v>74</v>
      </c>
      <c r="I43" s="18">
        <v>46176</v>
      </c>
      <c r="J43" s="6"/>
      <c r="K43" s="6"/>
      <c r="L43" s="9"/>
      <c r="M43" s="6"/>
      <c r="N43" s="6"/>
      <c r="O43" s="9"/>
      <c r="P43" s="6"/>
      <c r="Q43" s="6"/>
      <c r="R43" s="18"/>
      <c r="S43" s="9" t="s">
        <v>980</v>
      </c>
    </row>
    <row r="44" spans="1:19" ht="14.25" customHeight="1">
      <c r="A44" s="29"/>
      <c r="B44" s="6" t="s">
        <v>981</v>
      </c>
      <c r="C44" s="6"/>
      <c r="D44" s="6" t="s">
        <v>982</v>
      </c>
      <c r="E44" s="6"/>
      <c r="F44" s="6" t="s">
        <v>69</v>
      </c>
      <c r="G44" s="6" t="s">
        <v>97</v>
      </c>
      <c r="H44" s="6" t="s">
        <v>74</v>
      </c>
      <c r="I44" s="18">
        <v>45727</v>
      </c>
      <c r="J44" s="6"/>
      <c r="K44" s="6"/>
      <c r="L44" s="9"/>
      <c r="M44" s="6"/>
      <c r="N44" s="6"/>
      <c r="O44" s="9"/>
      <c r="P44" s="6" t="s">
        <v>983</v>
      </c>
      <c r="Q44" s="6"/>
      <c r="R44" s="18"/>
      <c r="S44" s="9" t="s">
        <v>984</v>
      </c>
    </row>
    <row r="45" spans="1:19" ht="14.25" customHeight="1">
      <c r="A45" s="29"/>
      <c r="B45" s="6" t="s">
        <v>985</v>
      </c>
      <c r="C45" s="6"/>
      <c r="D45" s="6" t="s">
        <v>982</v>
      </c>
      <c r="E45" s="6"/>
      <c r="F45" s="6" t="s">
        <v>69</v>
      </c>
      <c r="G45" s="6" t="s">
        <v>97</v>
      </c>
      <c r="H45" s="6" t="s">
        <v>74</v>
      </c>
      <c r="I45" s="18">
        <v>45727</v>
      </c>
      <c r="J45" s="6"/>
      <c r="K45" s="6"/>
      <c r="L45" s="9"/>
      <c r="M45" s="6"/>
      <c r="N45" s="6"/>
      <c r="O45" s="9"/>
      <c r="P45" s="6" t="s">
        <v>33</v>
      </c>
      <c r="Q45" s="6"/>
      <c r="R45" s="18"/>
      <c r="S45" s="9"/>
    </row>
    <row r="46" spans="1:19" ht="14.25" customHeight="1">
      <c r="A46" s="29"/>
      <c r="B46" s="6" t="s">
        <v>986</v>
      </c>
      <c r="C46" s="6" t="s">
        <v>987</v>
      </c>
      <c r="D46" s="6" t="s">
        <v>153</v>
      </c>
      <c r="E46" s="6"/>
      <c r="F46" s="6" t="s">
        <v>69</v>
      </c>
      <c r="G46" s="6" t="s">
        <v>97</v>
      </c>
      <c r="H46" s="6" t="s">
        <v>74</v>
      </c>
      <c r="I46" s="18">
        <v>45937</v>
      </c>
      <c r="J46" s="6"/>
      <c r="K46" s="6"/>
      <c r="L46" s="9"/>
      <c r="M46" s="6"/>
      <c r="N46" s="6"/>
      <c r="O46" s="9"/>
      <c r="P46" s="6" t="s">
        <v>988</v>
      </c>
      <c r="Q46" s="6"/>
      <c r="R46" s="18"/>
      <c r="S46" s="9"/>
    </row>
    <row r="47" spans="1:19" ht="14.25" customHeight="1">
      <c r="A47" s="29"/>
      <c r="B47" s="6" t="s">
        <v>989</v>
      </c>
      <c r="C47" s="6" t="s">
        <v>990</v>
      </c>
      <c r="D47" s="6" t="s">
        <v>153</v>
      </c>
      <c r="E47" s="6"/>
      <c r="F47" s="6" t="s">
        <v>69</v>
      </c>
      <c r="G47" s="6" t="s">
        <v>97</v>
      </c>
      <c r="H47" s="6" t="s">
        <v>74</v>
      </c>
      <c r="I47" s="18">
        <v>45806</v>
      </c>
      <c r="J47" s="6"/>
      <c r="K47" s="6"/>
      <c r="L47" s="9"/>
      <c r="M47" s="6"/>
      <c r="N47" s="6"/>
      <c r="O47" s="9"/>
      <c r="P47" s="6"/>
      <c r="Q47" s="6"/>
      <c r="R47" s="18"/>
      <c r="S47" s="9"/>
    </row>
    <row r="48" spans="1:19" ht="14.25" customHeight="1">
      <c r="A48" s="29"/>
      <c r="B48" s="6" t="s">
        <v>340</v>
      </c>
      <c r="C48" s="6" t="s">
        <v>991</v>
      </c>
      <c r="D48" s="6" t="s">
        <v>153</v>
      </c>
      <c r="E48" s="6"/>
      <c r="F48" s="6"/>
      <c r="G48" s="6" t="s">
        <v>156</v>
      </c>
      <c r="H48" s="6" t="s">
        <v>74</v>
      </c>
      <c r="I48" s="18">
        <v>46049</v>
      </c>
      <c r="J48" s="6"/>
      <c r="K48" s="6"/>
      <c r="L48" s="9"/>
      <c r="M48" s="6"/>
      <c r="N48" s="6"/>
      <c r="O48" s="9"/>
      <c r="P48" s="6"/>
      <c r="Q48" s="6" t="s">
        <v>50</v>
      </c>
      <c r="R48" s="18"/>
      <c r="S48" s="9" t="s">
        <v>992</v>
      </c>
    </row>
    <row r="49" spans="1:19" ht="14.25" customHeight="1">
      <c r="A49" s="29"/>
      <c r="B49" s="6" t="s">
        <v>993</v>
      </c>
      <c r="C49" s="6" t="s">
        <v>994</v>
      </c>
      <c r="D49" s="6"/>
      <c r="E49" s="6"/>
      <c r="F49" s="6" t="s">
        <v>973</v>
      </c>
      <c r="G49" s="6" t="s">
        <v>97</v>
      </c>
      <c r="H49" s="6" t="s">
        <v>74</v>
      </c>
      <c r="I49" s="18">
        <v>46126</v>
      </c>
      <c r="J49" s="6"/>
      <c r="K49" s="6"/>
      <c r="L49" s="9"/>
      <c r="M49" s="6"/>
      <c r="N49" s="6"/>
      <c r="O49" s="9"/>
      <c r="P49" s="6"/>
      <c r="Q49" s="6" t="s">
        <v>50</v>
      </c>
      <c r="R49" s="18"/>
      <c r="S49" s="9"/>
    </row>
    <row r="50" spans="1:19" ht="14.25" customHeight="1">
      <c r="A50" s="29"/>
      <c r="B50" s="6" t="s">
        <v>995</v>
      </c>
      <c r="C50" s="6" t="s">
        <v>996</v>
      </c>
      <c r="D50" s="6" t="s">
        <v>153</v>
      </c>
      <c r="E50" s="6"/>
      <c r="F50" s="6" t="s">
        <v>574</v>
      </c>
      <c r="G50" s="6" t="s">
        <v>156</v>
      </c>
      <c r="H50" s="6" t="s">
        <v>74</v>
      </c>
      <c r="I50" s="18">
        <v>46202</v>
      </c>
      <c r="J50" s="6"/>
      <c r="K50" s="6"/>
      <c r="L50" s="9"/>
      <c r="M50" s="6"/>
      <c r="N50" s="6"/>
      <c r="O50" s="9"/>
      <c r="P50" s="6"/>
      <c r="Q50" s="6" t="s">
        <v>50</v>
      </c>
      <c r="R50" s="18"/>
      <c r="S50" s="9" t="s">
        <v>997</v>
      </c>
    </row>
    <row r="51" spans="1:19" ht="14.25" customHeight="1">
      <c r="A51" s="29"/>
      <c r="B51" s="6" t="s">
        <v>998</v>
      </c>
      <c r="C51" s="6"/>
      <c r="D51" s="6" t="s">
        <v>999</v>
      </c>
      <c r="E51" s="6"/>
      <c r="F51" s="6"/>
      <c r="G51" s="6" t="s">
        <v>156</v>
      </c>
      <c r="H51" s="6" t="s">
        <v>74</v>
      </c>
      <c r="I51" s="18">
        <v>46169</v>
      </c>
      <c r="J51" s="6"/>
      <c r="K51" s="6"/>
      <c r="L51" s="9"/>
      <c r="M51" s="6"/>
      <c r="N51" s="6"/>
      <c r="O51" s="9"/>
      <c r="P51" s="6"/>
      <c r="Q51" s="6" t="s">
        <v>50</v>
      </c>
      <c r="R51" s="18"/>
      <c r="S51" s="9" t="s">
        <v>1000</v>
      </c>
    </row>
    <row r="52" spans="1:19" ht="14.25" customHeight="1">
      <c r="A52" s="29"/>
      <c r="B52" s="6" t="s">
        <v>1001</v>
      </c>
      <c r="C52" s="6" t="s">
        <v>1002</v>
      </c>
      <c r="D52" s="6" t="s">
        <v>1003</v>
      </c>
      <c r="E52" s="6"/>
      <c r="F52" s="6" t="s">
        <v>69</v>
      </c>
      <c r="G52" s="6" t="s">
        <v>316</v>
      </c>
      <c r="H52" s="6" t="s">
        <v>74</v>
      </c>
      <c r="I52" s="18"/>
      <c r="J52" s="6"/>
      <c r="K52" s="6"/>
      <c r="L52" s="9"/>
      <c r="M52" s="6"/>
      <c r="N52" s="6"/>
      <c r="O52" s="9"/>
      <c r="P52" s="6"/>
      <c r="Q52" s="6" t="s">
        <v>50</v>
      </c>
      <c r="R52" s="18"/>
      <c r="S52" s="9" t="s">
        <v>1004</v>
      </c>
    </row>
    <row r="53" spans="1:19" ht="14.25" customHeight="1">
      <c r="A53" s="29"/>
      <c r="B53" s="6" t="s">
        <v>1005</v>
      </c>
      <c r="C53" s="6"/>
      <c r="D53" s="6" t="s">
        <v>153</v>
      </c>
      <c r="E53" s="6"/>
      <c r="F53" s="6" t="s">
        <v>502</v>
      </c>
      <c r="G53" s="6" t="s">
        <v>97</v>
      </c>
      <c r="H53" s="6" t="s">
        <v>74</v>
      </c>
      <c r="I53" s="18">
        <v>46185</v>
      </c>
      <c r="J53" s="6"/>
      <c r="K53" s="6"/>
      <c r="L53" s="9"/>
      <c r="M53" s="6"/>
      <c r="N53" s="6"/>
      <c r="O53" s="9"/>
      <c r="P53" s="6"/>
      <c r="Q53" s="6" t="s">
        <v>50</v>
      </c>
      <c r="R53" s="18"/>
      <c r="S53" s="9" t="s">
        <v>1006</v>
      </c>
    </row>
    <row r="54" spans="1:19" ht="14.25" customHeight="1">
      <c r="A54" s="29"/>
      <c r="B54" s="6" t="s">
        <v>1007</v>
      </c>
      <c r="C54" s="6" t="s">
        <v>1008</v>
      </c>
      <c r="D54" s="6" t="s">
        <v>153</v>
      </c>
      <c r="E54" s="6"/>
      <c r="F54" s="6"/>
      <c r="G54" s="6" t="s">
        <v>156</v>
      </c>
      <c r="H54" s="6" t="s">
        <v>74</v>
      </c>
      <c r="I54" s="18">
        <v>45980</v>
      </c>
      <c r="J54" s="6"/>
      <c r="K54" s="6"/>
      <c r="L54" s="9"/>
      <c r="M54" s="6"/>
      <c r="N54" s="6"/>
      <c r="O54" s="9"/>
      <c r="P54" s="6" t="s">
        <v>1009</v>
      </c>
      <c r="Q54" s="6" t="s">
        <v>50</v>
      </c>
      <c r="R54" s="18"/>
      <c r="S54" s="9"/>
    </row>
    <row r="55" spans="1:19" ht="14.25" customHeight="1">
      <c r="A55" s="29"/>
      <c r="B55" s="6" t="s">
        <v>1010</v>
      </c>
      <c r="C55" s="6" t="s">
        <v>1011</v>
      </c>
      <c r="D55" s="6" t="s">
        <v>153</v>
      </c>
      <c r="E55" s="6"/>
      <c r="F55" s="6" t="s">
        <v>950</v>
      </c>
      <c r="G55" s="6" t="s">
        <v>156</v>
      </c>
      <c r="H55" s="6" t="s">
        <v>74</v>
      </c>
      <c r="I55" s="18">
        <v>45979</v>
      </c>
      <c r="J55" s="6"/>
      <c r="K55" s="6"/>
      <c r="L55" s="9"/>
      <c r="M55" s="6"/>
      <c r="N55" s="6"/>
      <c r="O55" s="9"/>
      <c r="P55" s="6" t="s">
        <v>1009</v>
      </c>
      <c r="Q55" s="6" t="s">
        <v>50</v>
      </c>
      <c r="R55" s="18"/>
      <c r="S55" s="9" t="s">
        <v>1012</v>
      </c>
    </row>
    <row r="56" spans="1:19" ht="14.25" customHeight="1">
      <c r="A56" s="29"/>
      <c r="B56" s="6" t="s">
        <v>1013</v>
      </c>
      <c r="C56" s="6" t="s">
        <v>1014</v>
      </c>
      <c r="D56" s="6" t="s">
        <v>153</v>
      </c>
      <c r="E56" s="6"/>
      <c r="F56" s="6" t="s">
        <v>950</v>
      </c>
      <c r="G56" s="6" t="s">
        <v>97</v>
      </c>
      <c r="H56" s="6" t="s">
        <v>74</v>
      </c>
      <c r="I56" s="18">
        <v>46072</v>
      </c>
      <c r="J56" s="6"/>
      <c r="K56" s="6"/>
      <c r="L56" s="9"/>
      <c r="M56" s="6"/>
      <c r="N56" s="6"/>
      <c r="O56" s="9"/>
      <c r="P56" s="6"/>
      <c r="Q56" s="6" t="s">
        <v>50</v>
      </c>
      <c r="R56" s="18"/>
      <c r="S56" s="9"/>
    </row>
    <row r="57" spans="1:19" ht="14.25" customHeight="1">
      <c r="A57" s="29"/>
      <c r="B57" s="6" t="s">
        <v>1015</v>
      </c>
      <c r="C57" s="6"/>
      <c r="D57" s="6" t="s">
        <v>173</v>
      </c>
      <c r="E57" s="6"/>
      <c r="F57" s="6" t="s">
        <v>1016</v>
      </c>
      <c r="G57" s="6" t="s">
        <v>97</v>
      </c>
      <c r="H57" s="6" t="s">
        <v>74</v>
      </c>
      <c r="I57" s="18">
        <v>45797</v>
      </c>
      <c r="J57" s="6"/>
      <c r="K57" s="6"/>
      <c r="L57" s="9"/>
      <c r="M57" s="6"/>
      <c r="N57" s="6"/>
      <c r="O57" s="9"/>
      <c r="P57" s="6" t="s">
        <v>983</v>
      </c>
      <c r="Q57" s="6" t="s">
        <v>50</v>
      </c>
      <c r="R57" s="18"/>
      <c r="S57" s="9"/>
    </row>
    <row r="58" spans="1:19" ht="14.25" customHeight="1">
      <c r="A58" s="29"/>
      <c r="B58" s="6" t="s">
        <v>1017</v>
      </c>
      <c r="C58" s="6" t="s">
        <v>1018</v>
      </c>
      <c r="D58" s="6" t="s">
        <v>153</v>
      </c>
      <c r="E58" s="6"/>
      <c r="F58" s="6" t="s">
        <v>69</v>
      </c>
      <c r="G58" s="6" t="s">
        <v>97</v>
      </c>
      <c r="H58" s="6" t="s">
        <v>74</v>
      </c>
      <c r="I58" s="18">
        <v>45898</v>
      </c>
      <c r="J58" s="6"/>
      <c r="K58" s="6"/>
      <c r="L58" s="9"/>
      <c r="M58" s="6"/>
      <c r="N58" s="6"/>
      <c r="O58" s="9"/>
      <c r="P58" s="6" t="s">
        <v>1019</v>
      </c>
      <c r="Q58" s="6" t="s">
        <v>50</v>
      </c>
      <c r="R58" s="18"/>
      <c r="S58" s="9"/>
    </row>
    <row r="59" spans="1:19" ht="14.25" customHeight="1">
      <c r="A59" s="29"/>
      <c r="B59" s="6" t="s">
        <v>1020</v>
      </c>
      <c r="C59" s="6" t="s">
        <v>464</v>
      </c>
      <c r="D59" s="6"/>
      <c r="E59" s="6"/>
      <c r="F59" s="6"/>
      <c r="G59" s="6"/>
      <c r="H59" s="6" t="s">
        <v>459</v>
      </c>
      <c r="I59" s="18">
        <v>46265</v>
      </c>
      <c r="J59" s="6"/>
      <c r="K59" s="6"/>
      <c r="L59" s="9"/>
      <c r="M59" s="6"/>
      <c r="N59" s="6"/>
      <c r="O59" s="9"/>
      <c r="P59" s="6" t="s">
        <v>417</v>
      </c>
      <c r="Q59" s="6" t="s">
        <v>50</v>
      </c>
      <c r="R59" s="18">
        <v>46287</v>
      </c>
      <c r="S59" s="9" t="s">
        <v>1021</v>
      </c>
    </row>
    <row r="60" spans="1:19" ht="14.25" customHeight="1">
      <c r="A60" s="29"/>
      <c r="B60" s="6" t="s">
        <v>1022</v>
      </c>
      <c r="C60" s="6" t="s">
        <v>1023</v>
      </c>
      <c r="D60" s="6"/>
      <c r="E60" s="6"/>
      <c r="F60" s="6"/>
      <c r="G60" s="6"/>
      <c r="H60" s="6" t="s">
        <v>459</v>
      </c>
      <c r="I60" s="18">
        <v>46283</v>
      </c>
      <c r="J60" s="6"/>
      <c r="K60" s="6"/>
      <c r="L60" s="9"/>
      <c r="M60" s="6"/>
      <c r="N60" s="6"/>
      <c r="O60" s="9"/>
      <c r="P60" s="6" t="s">
        <v>1024</v>
      </c>
      <c r="Q60" s="6" t="s">
        <v>50</v>
      </c>
      <c r="R60" s="18">
        <v>46287</v>
      </c>
      <c r="S60" s="9" t="s">
        <v>1025</v>
      </c>
    </row>
    <row r="61" spans="1:19" ht="14.25" customHeight="1">
      <c r="A61" s="29"/>
      <c r="B61" s="6" t="s">
        <v>1026</v>
      </c>
      <c r="C61" s="6" t="s">
        <v>1023</v>
      </c>
      <c r="D61" s="6"/>
      <c r="E61" s="6"/>
      <c r="F61" s="6"/>
      <c r="G61" s="6"/>
      <c r="H61" s="6" t="s">
        <v>459</v>
      </c>
      <c r="I61" s="18">
        <v>46283</v>
      </c>
      <c r="J61" s="6"/>
      <c r="K61" s="6"/>
      <c r="L61" s="9"/>
      <c r="M61" s="6"/>
      <c r="N61" s="6"/>
      <c r="O61" s="9"/>
      <c r="P61" s="6" t="s">
        <v>1024</v>
      </c>
      <c r="Q61" s="6" t="s">
        <v>50</v>
      </c>
      <c r="R61" s="18">
        <v>46287</v>
      </c>
      <c r="S61" s="9" t="s">
        <v>1027</v>
      </c>
    </row>
    <row r="62" spans="1:19" ht="14.25" customHeight="1">
      <c r="A62" s="29"/>
      <c r="B62" s="6" t="s">
        <v>1028</v>
      </c>
      <c r="C62" s="6" t="s">
        <v>1029</v>
      </c>
      <c r="D62" s="6"/>
      <c r="E62" s="6"/>
      <c r="F62" s="6"/>
      <c r="G62" s="6"/>
      <c r="H62" s="6" t="s">
        <v>459</v>
      </c>
      <c r="I62" s="18">
        <v>46286</v>
      </c>
      <c r="J62" s="6"/>
      <c r="K62" s="6"/>
      <c r="L62" s="9"/>
      <c r="M62" s="6"/>
      <c r="N62" s="6"/>
      <c r="O62" s="9"/>
      <c r="P62" s="6"/>
      <c r="Q62" s="6" t="s">
        <v>50</v>
      </c>
      <c r="R62" s="18">
        <v>46288</v>
      </c>
      <c r="S62" s="9" t="s">
        <v>1030</v>
      </c>
    </row>
    <row r="63" spans="1:19" ht="14.25" customHeight="1">
      <c r="A63" s="29"/>
      <c r="B63" s="6" t="s">
        <v>319</v>
      </c>
      <c r="C63" s="6" t="s">
        <v>1031</v>
      </c>
      <c r="D63" s="6"/>
      <c r="E63" s="6"/>
      <c r="F63" s="6"/>
      <c r="G63" s="6"/>
      <c r="H63" s="6" t="s">
        <v>459</v>
      </c>
      <c r="I63" s="18">
        <v>46286</v>
      </c>
      <c r="J63" s="6"/>
      <c r="K63" s="6"/>
      <c r="L63" s="9"/>
      <c r="M63" s="6"/>
      <c r="N63" s="6"/>
      <c r="O63" s="9"/>
      <c r="P63" s="6"/>
      <c r="Q63" s="6" t="s">
        <v>50</v>
      </c>
      <c r="R63" s="18">
        <v>46288</v>
      </c>
      <c r="S63" s="9" t="s">
        <v>1032</v>
      </c>
    </row>
    <row r="64" spans="1:19" ht="14.25" customHeight="1">
      <c r="A64" s="29"/>
      <c r="B64" s="6" t="s">
        <v>366</v>
      </c>
      <c r="C64" s="6" t="s">
        <v>1033</v>
      </c>
      <c r="D64" s="6"/>
      <c r="E64" s="6"/>
      <c r="F64" s="6"/>
      <c r="G64" s="6"/>
      <c r="H64" s="6" t="s">
        <v>459</v>
      </c>
      <c r="I64" s="18">
        <v>46286</v>
      </c>
      <c r="J64" s="6"/>
      <c r="K64" s="6"/>
      <c r="L64" s="9"/>
      <c r="M64" s="6"/>
      <c r="N64" s="6"/>
      <c r="O64" s="9"/>
      <c r="P64" s="6" t="s">
        <v>979</v>
      </c>
      <c r="Q64" s="6" t="s">
        <v>50</v>
      </c>
      <c r="R64" s="18">
        <v>46288</v>
      </c>
      <c r="S64" s="9" t="s">
        <v>1025</v>
      </c>
    </row>
    <row r="65" spans="1:19" ht="14.25" customHeight="1">
      <c r="A65" s="29"/>
      <c r="B65" s="6" t="s">
        <v>279</v>
      </c>
      <c r="C65" s="6" t="s">
        <v>1034</v>
      </c>
      <c r="D65" s="6"/>
      <c r="E65" s="6"/>
      <c r="F65" s="6"/>
      <c r="G65" s="6"/>
      <c r="H65" s="6" t="s">
        <v>459</v>
      </c>
      <c r="I65" s="18">
        <v>46286</v>
      </c>
      <c r="J65" s="6"/>
      <c r="K65" s="6"/>
      <c r="L65" s="9"/>
      <c r="M65" s="6"/>
      <c r="N65" s="6"/>
      <c r="O65" s="9"/>
      <c r="P65" s="6" t="s">
        <v>1024</v>
      </c>
      <c r="Q65" s="6" t="s">
        <v>50</v>
      </c>
      <c r="R65" s="18">
        <v>46288</v>
      </c>
      <c r="S65" s="9" t="s">
        <v>1035</v>
      </c>
    </row>
    <row r="66" spans="1:19" ht="14.25" customHeight="1">
      <c r="A66" s="29"/>
      <c r="B66" s="6"/>
      <c r="C66" s="6"/>
      <c r="D66" s="6"/>
      <c r="E66" s="6"/>
      <c r="F66" s="6"/>
      <c r="G66" s="6"/>
      <c r="H66" s="6"/>
      <c r="I66" s="18"/>
      <c r="J66" s="6"/>
      <c r="K66" s="6"/>
      <c r="L66" s="9"/>
      <c r="M66" s="6"/>
      <c r="N66" s="6"/>
      <c r="O66" s="9"/>
      <c r="P66" s="6"/>
      <c r="Q66" s="6"/>
      <c r="R66" s="18"/>
      <c r="S66" s="9"/>
    </row>
    <row r="67" spans="1:19" ht="14.25" customHeight="1">
      <c r="A67" s="29"/>
      <c r="B67" s="6"/>
      <c r="C67" s="6"/>
      <c r="D67" s="6"/>
      <c r="E67" s="6"/>
      <c r="F67" s="6"/>
      <c r="G67" s="6"/>
      <c r="H67" s="6"/>
      <c r="I67" s="18"/>
      <c r="J67" s="6"/>
      <c r="K67" s="6"/>
      <c r="L67" s="9"/>
      <c r="M67" s="6"/>
      <c r="N67" s="6"/>
      <c r="O67" s="9"/>
      <c r="P67" s="6"/>
      <c r="Q67" s="6"/>
      <c r="R67" s="18"/>
      <c r="S67" s="9"/>
    </row>
    <row r="68" spans="1:19" ht="14.25" customHeight="1">
      <c r="A68" s="29"/>
      <c r="B68" s="6"/>
      <c r="C68" s="6"/>
      <c r="D68" s="6"/>
      <c r="E68" s="6"/>
      <c r="F68" s="6"/>
      <c r="G68" s="6"/>
      <c r="H68" s="6"/>
      <c r="I68" s="18"/>
      <c r="J68" s="6"/>
      <c r="K68" s="6"/>
      <c r="L68" s="9"/>
      <c r="M68" s="6"/>
      <c r="N68" s="6"/>
      <c r="O68" s="9"/>
      <c r="P68" s="6"/>
      <c r="Q68" s="6"/>
      <c r="R68" s="18"/>
      <c r="S68" s="9"/>
    </row>
    <row r="69" spans="1:19" ht="14.25" customHeight="1">
      <c r="A69" s="29"/>
      <c r="B69" s="6"/>
      <c r="C69" s="6"/>
      <c r="D69" s="6"/>
      <c r="E69" s="6"/>
      <c r="F69" s="6"/>
      <c r="G69" s="6"/>
      <c r="H69" s="6"/>
      <c r="I69" s="18"/>
      <c r="J69" s="6"/>
      <c r="K69" s="6"/>
      <c r="L69" s="9"/>
      <c r="M69" s="6"/>
      <c r="N69" s="6"/>
      <c r="O69" s="9"/>
      <c r="P69" s="6"/>
      <c r="Q69" s="6"/>
      <c r="R69" s="18"/>
      <c r="S69" s="9"/>
    </row>
    <row r="70" spans="1:19" ht="14.25" customHeight="1">
      <c r="A70" s="29"/>
      <c r="B70" s="6"/>
      <c r="C70" s="6"/>
      <c r="D70" s="6"/>
      <c r="E70" s="6"/>
      <c r="F70" s="6"/>
      <c r="G70" s="6"/>
      <c r="H70" s="6"/>
      <c r="I70" s="18"/>
      <c r="J70" s="6"/>
      <c r="K70" s="6"/>
      <c r="L70" s="9"/>
      <c r="M70" s="6"/>
      <c r="N70" s="6"/>
      <c r="O70" s="9"/>
      <c r="P70" s="6"/>
      <c r="Q70" s="6"/>
      <c r="R70" s="18"/>
      <c r="S70" s="9"/>
    </row>
    <row r="71" spans="1:19" ht="14.25" customHeight="1">
      <c r="A71" s="29"/>
      <c r="B71" s="6"/>
      <c r="C71" s="6"/>
      <c r="D71" s="6"/>
      <c r="E71" s="6"/>
      <c r="F71" s="6"/>
      <c r="G71" s="6"/>
      <c r="H71" s="6"/>
      <c r="I71" s="18"/>
      <c r="J71" s="6"/>
      <c r="K71" s="6"/>
      <c r="L71" s="9"/>
      <c r="M71" s="6"/>
      <c r="N71" s="6"/>
      <c r="O71" s="9"/>
      <c r="P71" s="6"/>
      <c r="Q71" s="6"/>
      <c r="R71" s="18"/>
      <c r="S71" s="9"/>
    </row>
    <row r="72" spans="1:19" ht="14.25" customHeight="1">
      <c r="A72" s="29"/>
      <c r="B72" s="6"/>
      <c r="C72" s="6"/>
      <c r="D72" s="6"/>
      <c r="E72" s="6"/>
      <c r="F72" s="6"/>
      <c r="G72" s="6"/>
      <c r="H72" s="6"/>
      <c r="I72" s="18"/>
      <c r="J72" s="6"/>
      <c r="K72" s="6"/>
      <c r="L72" s="9"/>
      <c r="M72" s="6"/>
      <c r="N72" s="6"/>
      <c r="O72" s="9"/>
      <c r="P72" s="6"/>
      <c r="Q72" s="6"/>
      <c r="R72" s="18"/>
      <c r="S72" s="9"/>
    </row>
    <row r="73" spans="1:19" ht="14.25" customHeight="1">
      <c r="A73" s="29"/>
      <c r="B73" s="6"/>
      <c r="C73" s="6"/>
      <c r="D73" s="6"/>
      <c r="E73" s="6"/>
      <c r="F73" s="6"/>
      <c r="G73" s="6"/>
      <c r="H73" s="6"/>
      <c r="I73" s="18"/>
      <c r="J73" s="6"/>
      <c r="K73" s="6"/>
      <c r="L73" s="9"/>
      <c r="M73" s="6"/>
      <c r="N73" s="6"/>
      <c r="O73" s="9"/>
      <c r="P73" s="6"/>
      <c r="Q73" s="6"/>
      <c r="R73" s="18"/>
      <c r="S73" s="9"/>
    </row>
    <row r="74" spans="1:19" ht="14.25" customHeight="1">
      <c r="A74" s="29"/>
      <c r="B74" s="6"/>
      <c r="C74" s="6"/>
      <c r="D74" s="6"/>
      <c r="E74" s="6"/>
      <c r="F74" s="6"/>
      <c r="G74" s="6"/>
      <c r="H74" s="6"/>
      <c r="I74" s="18"/>
      <c r="J74" s="6"/>
      <c r="K74" s="6"/>
      <c r="L74" s="9"/>
      <c r="M74" s="6"/>
      <c r="N74" s="6"/>
      <c r="O74" s="9"/>
      <c r="P74" s="6"/>
      <c r="Q74" s="6"/>
      <c r="R74" s="18"/>
      <c r="S74" s="9"/>
    </row>
    <row r="75" spans="1:19" ht="14.25" customHeight="1">
      <c r="A75" s="29"/>
      <c r="B75" s="6"/>
      <c r="C75" s="6"/>
      <c r="D75" s="6"/>
      <c r="E75" s="6"/>
      <c r="F75" s="6"/>
      <c r="G75" s="6"/>
      <c r="H75" s="6"/>
      <c r="I75" s="18"/>
      <c r="J75" s="6"/>
      <c r="K75" s="6"/>
      <c r="L75" s="9"/>
      <c r="M75" s="6"/>
      <c r="N75" s="6"/>
      <c r="O75" s="9"/>
      <c r="P75" s="6"/>
      <c r="Q75" s="6"/>
      <c r="R75" s="18"/>
      <c r="S75" s="9"/>
    </row>
    <row r="76" spans="1:19" ht="14.25" customHeight="1">
      <c r="A76" s="29"/>
      <c r="B76" s="6"/>
      <c r="C76" s="6"/>
      <c r="D76" s="6"/>
      <c r="E76" s="6"/>
      <c r="F76" s="6"/>
      <c r="G76" s="6"/>
      <c r="H76" s="6"/>
      <c r="I76" s="18"/>
      <c r="J76" s="6"/>
      <c r="K76" s="6"/>
      <c r="L76" s="9"/>
      <c r="M76" s="6"/>
      <c r="N76" s="6"/>
      <c r="O76" s="9"/>
      <c r="P76" s="6"/>
      <c r="Q76" s="6"/>
      <c r="R76" s="18"/>
      <c r="S76" s="9"/>
    </row>
    <row r="77" spans="1:19" ht="14.25" customHeight="1">
      <c r="A77" s="29"/>
      <c r="B77" s="6"/>
      <c r="C77" s="6"/>
      <c r="D77" s="6"/>
      <c r="E77" s="6"/>
      <c r="F77" s="6"/>
      <c r="G77" s="6"/>
      <c r="H77" s="6"/>
      <c r="I77" s="18"/>
      <c r="J77" s="6"/>
      <c r="K77" s="6"/>
      <c r="L77" s="9"/>
      <c r="M77" s="6"/>
      <c r="N77" s="6"/>
      <c r="O77" s="9"/>
      <c r="P77" s="6"/>
      <c r="Q77" s="6"/>
      <c r="R77" s="18"/>
      <c r="S77" s="9"/>
    </row>
    <row r="78" spans="1:19" ht="14.25" customHeight="1">
      <c r="A78" s="29"/>
      <c r="B78" s="6"/>
      <c r="C78" s="6"/>
      <c r="D78" s="6"/>
      <c r="E78" s="6"/>
      <c r="F78" s="6"/>
      <c r="G78" s="6"/>
      <c r="H78" s="6"/>
      <c r="I78" s="18"/>
      <c r="J78" s="6"/>
      <c r="K78" s="6"/>
      <c r="L78" s="9"/>
      <c r="M78" s="6"/>
      <c r="N78" s="6"/>
      <c r="O78" s="9"/>
      <c r="P78" s="6"/>
      <c r="Q78" s="6"/>
      <c r="R78" s="18"/>
      <c r="S78" s="9"/>
    </row>
    <row r="79" spans="1:19" ht="14.25" customHeight="1">
      <c r="A79" s="29"/>
      <c r="B79" s="6"/>
      <c r="C79" s="6"/>
      <c r="D79" s="6"/>
      <c r="E79" s="6"/>
      <c r="F79" s="6"/>
      <c r="G79" s="6"/>
      <c r="H79" s="6"/>
      <c r="I79" s="18"/>
      <c r="J79" s="6"/>
      <c r="K79" s="6"/>
      <c r="L79" s="9"/>
      <c r="M79" s="6"/>
      <c r="N79" s="6"/>
      <c r="O79" s="9"/>
      <c r="P79" s="6"/>
      <c r="Q79" s="6"/>
      <c r="R79" s="18"/>
      <c r="S79" s="9"/>
    </row>
    <row r="80" spans="1:19" ht="14.25" customHeight="1">
      <c r="A80" s="29"/>
      <c r="B80" s="6"/>
      <c r="C80" s="6"/>
      <c r="D80" s="6"/>
      <c r="E80" s="6"/>
      <c r="F80" s="6"/>
      <c r="G80" s="6"/>
      <c r="H80" s="6"/>
      <c r="I80" s="18"/>
      <c r="J80" s="6"/>
      <c r="K80" s="6"/>
      <c r="L80" s="9"/>
      <c r="M80" s="6"/>
      <c r="N80" s="6"/>
      <c r="O80" s="9"/>
      <c r="P80" s="6"/>
      <c r="Q80" s="6"/>
      <c r="R80" s="18"/>
      <c r="S80" s="9"/>
    </row>
    <row r="81" spans="1:19" ht="14.25" customHeight="1">
      <c r="A81" s="29"/>
      <c r="B81" s="6"/>
      <c r="C81" s="6"/>
      <c r="D81" s="6"/>
      <c r="E81" s="6"/>
      <c r="F81" s="6"/>
      <c r="G81" s="6"/>
      <c r="H81" s="6"/>
      <c r="I81" s="18"/>
      <c r="J81" s="6"/>
      <c r="K81" s="6"/>
      <c r="L81" s="9"/>
      <c r="M81" s="6"/>
      <c r="N81" s="6"/>
      <c r="O81" s="9"/>
      <c r="P81" s="6"/>
      <c r="Q81" s="6"/>
      <c r="R81" s="18"/>
      <c r="S81" s="9"/>
    </row>
    <row r="82" spans="1:19" ht="14.25" customHeight="1">
      <c r="A82" s="29"/>
      <c r="B82" s="6"/>
      <c r="C82" s="6"/>
      <c r="D82" s="6"/>
      <c r="E82" s="6"/>
      <c r="F82" s="6"/>
      <c r="G82" s="6"/>
      <c r="H82" s="6"/>
      <c r="I82" s="18"/>
      <c r="J82" s="6"/>
      <c r="K82" s="6"/>
      <c r="L82" s="9"/>
      <c r="M82" s="6"/>
      <c r="N82" s="6"/>
      <c r="O82" s="9"/>
      <c r="P82" s="6"/>
      <c r="Q82" s="6"/>
      <c r="R82" s="18"/>
      <c r="S82" s="9"/>
    </row>
    <row r="83" spans="1:19" ht="14.25" customHeight="1">
      <c r="A83" s="29"/>
      <c r="B83" s="6"/>
      <c r="C83" s="6"/>
      <c r="D83" s="6"/>
      <c r="E83" s="6"/>
      <c r="F83" s="6"/>
      <c r="G83" s="6"/>
      <c r="H83" s="6"/>
      <c r="I83" s="18"/>
      <c r="J83" s="6"/>
      <c r="K83" s="6"/>
      <c r="L83" s="9"/>
      <c r="M83" s="6"/>
      <c r="N83" s="6"/>
      <c r="O83" s="9"/>
      <c r="P83" s="6"/>
      <c r="Q83" s="6"/>
      <c r="R83" s="18"/>
      <c r="S83" s="9"/>
    </row>
    <row r="84" spans="1:19" ht="14.25" customHeight="1">
      <c r="A84" s="29"/>
      <c r="B84" s="6"/>
      <c r="C84" s="6"/>
      <c r="D84" s="6"/>
      <c r="E84" s="6"/>
      <c r="F84" s="6"/>
      <c r="G84" s="6"/>
      <c r="H84" s="6"/>
      <c r="I84" s="18"/>
      <c r="J84" s="6"/>
      <c r="K84" s="6"/>
      <c r="L84" s="9"/>
      <c r="M84" s="6"/>
      <c r="N84" s="6"/>
      <c r="O84" s="9"/>
      <c r="P84" s="6"/>
      <c r="Q84" s="6"/>
      <c r="R84" s="18"/>
      <c r="S84" s="9"/>
    </row>
    <row r="85" spans="1:19" ht="14.25" customHeight="1">
      <c r="A85" s="29"/>
      <c r="B85" s="6"/>
      <c r="C85" s="6"/>
      <c r="D85" s="6"/>
      <c r="E85" s="6"/>
      <c r="F85" s="6"/>
      <c r="G85" s="6"/>
      <c r="H85" s="6"/>
      <c r="I85" s="18"/>
      <c r="J85" s="6"/>
      <c r="K85" s="6"/>
      <c r="L85" s="9"/>
      <c r="M85" s="6"/>
      <c r="N85" s="6"/>
      <c r="O85" s="9"/>
      <c r="P85" s="6"/>
      <c r="Q85" s="6"/>
      <c r="R85" s="18"/>
      <c r="S85" s="9"/>
    </row>
    <row r="86" spans="1:19" ht="14.25" customHeight="1">
      <c r="A86" s="29"/>
      <c r="B86" s="6"/>
      <c r="C86" s="6"/>
      <c r="D86" s="6"/>
      <c r="E86" s="6"/>
      <c r="F86" s="6"/>
      <c r="G86" s="6"/>
      <c r="H86" s="6"/>
      <c r="I86" s="18"/>
      <c r="J86" s="6"/>
      <c r="K86" s="6"/>
      <c r="L86" s="9"/>
      <c r="M86" s="6"/>
      <c r="N86" s="6"/>
      <c r="O86" s="9"/>
      <c r="P86" s="6"/>
      <c r="Q86" s="6"/>
      <c r="R86" s="18"/>
      <c r="S86" s="9"/>
    </row>
    <row r="87" spans="1:19" ht="14.25" customHeight="1">
      <c r="A87" s="29"/>
      <c r="B87" s="6"/>
      <c r="C87" s="6"/>
      <c r="D87" s="6"/>
      <c r="E87" s="6"/>
      <c r="F87" s="6"/>
      <c r="G87" s="6"/>
      <c r="H87" s="6"/>
      <c r="I87" s="18"/>
      <c r="J87" s="6"/>
      <c r="K87" s="6"/>
      <c r="L87" s="9"/>
      <c r="M87" s="6"/>
      <c r="N87" s="6"/>
      <c r="O87" s="9"/>
      <c r="P87" s="6"/>
      <c r="Q87" s="6"/>
      <c r="R87" s="18"/>
      <c r="S87" s="9"/>
    </row>
    <row r="88" spans="1:19" ht="14.25" customHeight="1">
      <c r="A88" s="29"/>
      <c r="B88" s="6"/>
      <c r="C88" s="6"/>
      <c r="D88" s="6"/>
      <c r="E88" s="6"/>
      <c r="F88" s="6"/>
      <c r="G88" s="6"/>
      <c r="H88" s="6"/>
      <c r="I88" s="18"/>
      <c r="J88" s="6"/>
      <c r="K88" s="6"/>
      <c r="L88" s="9"/>
      <c r="M88" s="6"/>
      <c r="N88" s="6"/>
      <c r="O88" s="9"/>
      <c r="P88" s="6"/>
      <c r="Q88" s="6"/>
      <c r="R88" s="18"/>
      <c r="S88" s="9"/>
    </row>
    <row r="89" spans="1:19" ht="14.25" customHeight="1">
      <c r="A89" s="29"/>
      <c r="B89" s="6"/>
      <c r="C89" s="6"/>
      <c r="D89" s="6"/>
      <c r="E89" s="6"/>
      <c r="F89" s="6"/>
      <c r="G89" s="6"/>
      <c r="H89" s="6"/>
      <c r="I89" s="18"/>
      <c r="J89" s="6"/>
      <c r="K89" s="6"/>
      <c r="L89" s="9"/>
      <c r="M89" s="6"/>
      <c r="N89" s="6"/>
      <c r="O89" s="9"/>
      <c r="P89" s="6"/>
      <c r="Q89" s="6"/>
      <c r="R89" s="18"/>
      <c r="S89" s="9"/>
    </row>
    <row r="90" spans="1:19" ht="14.25" customHeight="1">
      <c r="A90" s="29"/>
      <c r="B90" s="6"/>
      <c r="C90" s="6"/>
      <c r="D90" s="6"/>
      <c r="E90" s="6"/>
      <c r="F90" s="6"/>
      <c r="G90" s="6"/>
      <c r="H90" s="6"/>
      <c r="I90" s="18"/>
      <c r="J90" s="6"/>
      <c r="K90" s="6"/>
      <c r="L90" s="9"/>
      <c r="M90" s="6"/>
      <c r="N90" s="6"/>
      <c r="O90" s="9"/>
      <c r="P90" s="6"/>
      <c r="Q90" s="6"/>
      <c r="R90" s="18"/>
      <c r="S90" s="9"/>
    </row>
    <row r="91" spans="1:19" ht="14.25" customHeight="1">
      <c r="A91" s="29"/>
      <c r="B91" s="6"/>
      <c r="C91" s="6"/>
      <c r="D91" s="6"/>
      <c r="E91" s="6"/>
      <c r="F91" s="6"/>
      <c r="G91" s="6"/>
      <c r="H91" s="6"/>
      <c r="I91" s="18"/>
      <c r="J91" s="6"/>
      <c r="K91" s="6"/>
      <c r="L91" s="9"/>
      <c r="M91" s="6"/>
      <c r="N91" s="6"/>
      <c r="O91" s="9"/>
      <c r="P91" s="6"/>
      <c r="Q91" s="6"/>
      <c r="R91" s="18"/>
      <c r="S91" s="9"/>
    </row>
    <row r="92" spans="1:19" ht="14.25" customHeight="1">
      <c r="A92" s="29"/>
      <c r="B92" s="6"/>
      <c r="C92" s="6"/>
      <c r="D92" s="6"/>
      <c r="E92" s="6"/>
      <c r="F92" s="6"/>
      <c r="G92" s="6"/>
      <c r="H92" s="6"/>
      <c r="I92" s="18"/>
      <c r="J92" s="6"/>
      <c r="K92" s="6"/>
      <c r="L92" s="9"/>
      <c r="M92" s="6"/>
      <c r="N92" s="6"/>
      <c r="O92" s="9"/>
      <c r="P92" s="6"/>
      <c r="Q92" s="6"/>
      <c r="R92" s="18"/>
      <c r="S92" s="9"/>
    </row>
    <row r="93" spans="1:19" ht="14.25" customHeight="1">
      <c r="A93" s="29"/>
      <c r="B93" s="6"/>
      <c r="C93" s="6"/>
      <c r="D93" s="6"/>
      <c r="E93" s="6"/>
      <c r="F93" s="6"/>
      <c r="G93" s="6"/>
      <c r="H93" s="6"/>
      <c r="I93" s="18"/>
      <c r="J93" s="6"/>
      <c r="K93" s="6"/>
      <c r="L93" s="9"/>
      <c r="M93" s="6"/>
      <c r="N93" s="6"/>
      <c r="O93" s="9"/>
      <c r="P93" s="6"/>
      <c r="Q93" s="6"/>
      <c r="R93" s="18"/>
      <c r="S93" s="9"/>
    </row>
    <row r="94" spans="1:19" ht="14.25" customHeight="1">
      <c r="A94" s="29"/>
      <c r="B94" s="6"/>
      <c r="C94" s="6"/>
      <c r="D94" s="6"/>
      <c r="E94" s="6"/>
      <c r="F94" s="6"/>
      <c r="G94" s="6"/>
      <c r="H94" s="6"/>
      <c r="I94" s="18"/>
      <c r="J94" s="6"/>
      <c r="K94" s="6"/>
      <c r="L94" s="9"/>
      <c r="M94" s="6"/>
      <c r="N94" s="6"/>
      <c r="O94" s="9"/>
      <c r="P94" s="6"/>
      <c r="Q94" s="6"/>
      <c r="R94" s="18"/>
      <c r="S94" s="9"/>
    </row>
    <row r="95" spans="1:19" ht="14.25" customHeight="1">
      <c r="A95" s="29"/>
      <c r="B95" s="6"/>
      <c r="C95" s="6"/>
      <c r="D95" s="6"/>
      <c r="E95" s="6"/>
      <c r="F95" s="6"/>
      <c r="G95" s="6"/>
      <c r="H95" s="6"/>
      <c r="I95" s="18"/>
      <c r="J95" s="6"/>
      <c r="K95" s="6"/>
      <c r="L95" s="9"/>
      <c r="M95" s="6"/>
      <c r="N95" s="6"/>
      <c r="O95" s="9"/>
      <c r="P95" s="6"/>
      <c r="Q95" s="6"/>
      <c r="R95" s="18"/>
      <c r="S95" s="9"/>
    </row>
    <row r="96" spans="1:19" ht="14.25" customHeight="1">
      <c r="A96" s="29"/>
      <c r="B96" s="6"/>
      <c r="C96" s="6"/>
      <c r="D96" s="6"/>
      <c r="E96" s="6"/>
      <c r="F96" s="6"/>
      <c r="G96" s="6"/>
      <c r="H96" s="6"/>
      <c r="I96" s="18"/>
      <c r="J96" s="6"/>
      <c r="K96" s="6"/>
      <c r="L96" s="9"/>
      <c r="M96" s="6"/>
      <c r="N96" s="6"/>
      <c r="O96" s="9"/>
      <c r="P96" s="6"/>
      <c r="Q96" s="6"/>
      <c r="R96" s="18"/>
      <c r="S96" s="9"/>
    </row>
    <row r="97" spans="1:19" ht="14.25" customHeight="1">
      <c r="A97" s="29"/>
      <c r="B97" s="6"/>
      <c r="C97" s="6"/>
      <c r="D97" s="6"/>
      <c r="E97" s="6"/>
      <c r="F97" s="6"/>
      <c r="G97" s="6"/>
      <c r="H97" s="6"/>
      <c r="I97" s="18"/>
      <c r="J97" s="6"/>
      <c r="K97" s="6"/>
      <c r="L97" s="9"/>
      <c r="M97" s="6"/>
      <c r="N97" s="6"/>
      <c r="O97" s="9"/>
      <c r="P97" s="6"/>
      <c r="Q97" s="6"/>
      <c r="R97" s="18"/>
      <c r="S97" s="9"/>
    </row>
    <row r="98" spans="1:19" ht="14.25" customHeight="1">
      <c r="A98" s="29"/>
      <c r="B98" s="6"/>
      <c r="C98" s="6"/>
      <c r="D98" s="6"/>
      <c r="E98" s="6"/>
      <c r="F98" s="6"/>
      <c r="G98" s="6"/>
      <c r="H98" s="6"/>
      <c r="I98" s="18"/>
      <c r="J98" s="6"/>
      <c r="K98" s="6"/>
      <c r="L98" s="9"/>
      <c r="M98" s="6"/>
      <c r="N98" s="6"/>
      <c r="O98" s="9"/>
      <c r="P98" s="6"/>
      <c r="Q98" s="6"/>
      <c r="R98" s="18"/>
      <c r="S98" s="9"/>
    </row>
    <row r="99" spans="1:19" ht="14.25" customHeight="1">
      <c r="A99" s="29"/>
      <c r="B99" s="6"/>
      <c r="C99" s="6"/>
      <c r="D99" s="6"/>
      <c r="E99" s="6"/>
      <c r="F99" s="6"/>
      <c r="G99" s="6"/>
      <c r="H99" s="6"/>
      <c r="I99" s="18"/>
      <c r="J99" s="6"/>
      <c r="K99" s="6"/>
      <c r="L99" s="9"/>
      <c r="M99" s="6"/>
      <c r="N99" s="6"/>
      <c r="O99" s="9"/>
      <c r="P99" s="6"/>
      <c r="Q99" s="6"/>
      <c r="R99" s="18"/>
      <c r="S99" s="9"/>
    </row>
    <row r="100" spans="1:19" ht="14.25" customHeight="1">
      <c r="A100" s="29"/>
      <c r="B100" s="6"/>
      <c r="C100" s="6"/>
      <c r="D100" s="6"/>
      <c r="E100" s="6"/>
      <c r="F100" s="6"/>
      <c r="G100" s="6"/>
      <c r="H100" s="6"/>
      <c r="I100" s="18"/>
      <c r="J100" s="6"/>
      <c r="K100" s="6"/>
      <c r="L100" s="9"/>
      <c r="M100" s="6"/>
      <c r="N100" s="6"/>
      <c r="O100" s="9"/>
      <c r="P100" s="6"/>
      <c r="Q100" s="6"/>
      <c r="R100" s="18"/>
      <c r="S100" s="9"/>
    </row>
    <row r="101" spans="1:19" ht="14.25" customHeight="1">
      <c r="A101" s="29"/>
      <c r="B101" s="6"/>
      <c r="C101" s="6"/>
      <c r="D101" s="6"/>
      <c r="E101" s="6"/>
      <c r="F101" s="6"/>
      <c r="G101" s="6"/>
      <c r="H101" s="6"/>
      <c r="I101" s="18"/>
      <c r="J101" s="6"/>
      <c r="K101" s="6"/>
      <c r="L101" s="9"/>
      <c r="M101" s="6"/>
      <c r="N101" s="6"/>
      <c r="O101" s="9"/>
      <c r="P101" s="6"/>
      <c r="Q101" s="6"/>
      <c r="R101" s="18"/>
      <c r="S101" s="9"/>
    </row>
    <row r="102" spans="1:19" ht="14.25" customHeight="1">
      <c r="A102" s="29"/>
      <c r="B102" s="6"/>
      <c r="C102" s="6"/>
      <c r="D102" s="6"/>
      <c r="E102" s="6"/>
      <c r="F102" s="6"/>
      <c r="G102" s="6"/>
      <c r="H102" s="6"/>
      <c r="I102" s="18"/>
      <c r="J102" s="6"/>
      <c r="K102" s="6"/>
      <c r="L102" s="9"/>
      <c r="M102" s="6"/>
      <c r="N102" s="6"/>
      <c r="O102" s="9"/>
      <c r="P102" s="6"/>
      <c r="Q102" s="6"/>
      <c r="R102" s="18"/>
      <c r="S102" s="9"/>
    </row>
    <row r="103" spans="1:19" ht="14.25" customHeight="1">
      <c r="A103" s="29"/>
      <c r="B103" s="6"/>
      <c r="C103" s="6"/>
      <c r="D103" s="6"/>
      <c r="E103" s="6"/>
      <c r="F103" s="6"/>
      <c r="G103" s="6"/>
      <c r="H103" s="6"/>
      <c r="I103" s="18"/>
      <c r="J103" s="6"/>
      <c r="K103" s="6"/>
      <c r="L103" s="9"/>
      <c r="M103" s="6"/>
      <c r="N103" s="6"/>
      <c r="O103" s="9"/>
      <c r="P103" s="6"/>
      <c r="Q103" s="6"/>
      <c r="R103" s="18"/>
      <c r="S103" s="9"/>
    </row>
    <row r="104" spans="1:19" ht="14.25" customHeight="1">
      <c r="A104" s="29"/>
      <c r="B104" s="6"/>
      <c r="C104" s="6"/>
      <c r="D104" s="6"/>
      <c r="E104" s="6"/>
      <c r="F104" s="6"/>
      <c r="G104" s="6"/>
      <c r="H104" s="6"/>
      <c r="I104" s="18"/>
      <c r="J104" s="6"/>
      <c r="K104" s="6"/>
      <c r="L104" s="9"/>
      <c r="M104" s="6"/>
      <c r="N104" s="6"/>
      <c r="O104" s="9"/>
      <c r="P104" s="6"/>
      <c r="Q104" s="6"/>
      <c r="R104" s="18"/>
      <c r="S104" s="9"/>
    </row>
    <row r="105" spans="1:19" ht="14.25" customHeight="1">
      <c r="A105" s="29"/>
      <c r="B105" s="6"/>
      <c r="C105" s="6"/>
      <c r="D105" s="6"/>
      <c r="E105" s="6"/>
      <c r="F105" s="6"/>
      <c r="G105" s="6"/>
      <c r="H105" s="6"/>
      <c r="I105" s="18"/>
      <c r="J105" s="6"/>
      <c r="K105" s="6"/>
      <c r="L105" s="9"/>
      <c r="M105" s="6"/>
      <c r="N105" s="6"/>
      <c r="O105" s="9"/>
      <c r="P105" s="6"/>
      <c r="Q105" s="6"/>
      <c r="R105" s="18"/>
      <c r="S105" s="9"/>
    </row>
    <row r="106" spans="1:19" ht="14.25" customHeight="1">
      <c r="A106" s="29"/>
      <c r="B106" s="6"/>
      <c r="C106" s="6"/>
      <c r="D106" s="6"/>
      <c r="E106" s="6"/>
      <c r="F106" s="6"/>
      <c r="G106" s="6"/>
      <c r="H106" s="6"/>
      <c r="I106" s="18"/>
      <c r="J106" s="6"/>
      <c r="K106" s="6"/>
      <c r="L106" s="9"/>
      <c r="M106" s="6"/>
      <c r="N106" s="6"/>
      <c r="O106" s="9"/>
      <c r="P106" s="6"/>
      <c r="Q106" s="6"/>
      <c r="R106" s="18"/>
      <c r="S106" s="9"/>
    </row>
    <row r="107" spans="1:19" ht="14.25" customHeight="1">
      <c r="A107" s="29"/>
      <c r="B107" s="6"/>
      <c r="C107" s="6"/>
      <c r="D107" s="6"/>
      <c r="E107" s="6"/>
      <c r="F107" s="6"/>
      <c r="G107" s="6"/>
      <c r="H107" s="6"/>
      <c r="I107" s="18"/>
      <c r="J107" s="6"/>
      <c r="K107" s="6"/>
      <c r="L107" s="9"/>
      <c r="M107" s="6"/>
      <c r="N107" s="6"/>
      <c r="O107" s="9"/>
      <c r="P107" s="6"/>
      <c r="Q107" s="6"/>
      <c r="R107" s="18"/>
      <c r="S107" s="9"/>
    </row>
    <row r="108" spans="1:19" ht="14.25" customHeight="1">
      <c r="A108" s="29"/>
      <c r="B108" s="6"/>
      <c r="C108" s="6"/>
      <c r="D108" s="6"/>
      <c r="E108" s="6"/>
      <c r="F108" s="6"/>
      <c r="G108" s="6"/>
      <c r="H108" s="6"/>
      <c r="I108" s="18"/>
      <c r="J108" s="6"/>
      <c r="K108" s="6"/>
      <c r="L108" s="9"/>
      <c r="M108" s="6"/>
      <c r="N108" s="6"/>
      <c r="O108" s="9"/>
      <c r="P108" s="6"/>
      <c r="Q108" s="6"/>
      <c r="R108" s="18"/>
      <c r="S108" s="9"/>
    </row>
    <row r="109" spans="1:19" ht="14.25" customHeight="1">
      <c r="A109" s="29"/>
      <c r="B109" s="6"/>
      <c r="C109" s="6"/>
      <c r="D109" s="6"/>
      <c r="E109" s="6"/>
      <c r="F109" s="6"/>
      <c r="G109" s="6"/>
      <c r="H109" s="6"/>
      <c r="I109" s="18"/>
      <c r="J109" s="6"/>
      <c r="K109" s="6"/>
      <c r="L109" s="9"/>
      <c r="M109" s="6"/>
      <c r="N109" s="6"/>
      <c r="O109" s="9"/>
      <c r="P109" s="6"/>
      <c r="Q109" s="6"/>
      <c r="R109" s="18"/>
      <c r="S109" s="9"/>
    </row>
    <row r="110" spans="1:19" ht="14.25" customHeight="1">
      <c r="A110" s="29"/>
      <c r="B110" s="6"/>
      <c r="C110" s="6"/>
      <c r="D110" s="6"/>
      <c r="E110" s="6"/>
      <c r="F110" s="6"/>
      <c r="G110" s="6"/>
      <c r="H110" s="6"/>
      <c r="I110" s="18"/>
      <c r="J110" s="6"/>
      <c r="K110" s="6"/>
      <c r="L110" s="9"/>
      <c r="M110" s="6"/>
      <c r="N110" s="6"/>
      <c r="O110" s="9"/>
      <c r="P110" s="6"/>
      <c r="Q110" s="6"/>
      <c r="R110" s="18"/>
      <c r="S110" s="9"/>
    </row>
    <row r="111" spans="1:19" ht="14.25" customHeight="1">
      <c r="A111" s="29"/>
      <c r="B111" s="6"/>
      <c r="C111" s="6"/>
      <c r="D111" s="6"/>
      <c r="E111" s="6"/>
      <c r="F111" s="6"/>
      <c r="G111" s="6"/>
      <c r="H111" s="6"/>
      <c r="I111" s="18"/>
      <c r="J111" s="6"/>
      <c r="K111" s="6"/>
      <c r="L111" s="9"/>
      <c r="M111" s="6"/>
      <c r="N111" s="6"/>
      <c r="O111" s="9"/>
      <c r="P111" s="6"/>
      <c r="Q111" s="6"/>
      <c r="R111" s="18"/>
      <c r="S111" s="9"/>
    </row>
    <row r="112" spans="1:19" ht="14.25" customHeight="1">
      <c r="A112" s="29"/>
      <c r="B112" s="6"/>
      <c r="C112" s="6"/>
      <c r="D112" s="6"/>
      <c r="E112" s="6"/>
      <c r="F112" s="6"/>
      <c r="G112" s="6"/>
      <c r="H112" s="6"/>
      <c r="I112" s="18"/>
      <c r="J112" s="6"/>
      <c r="K112" s="6"/>
      <c r="L112" s="9"/>
      <c r="M112" s="6"/>
      <c r="N112" s="6"/>
      <c r="O112" s="9"/>
      <c r="P112" s="6"/>
      <c r="Q112" s="6"/>
      <c r="R112" s="18"/>
      <c r="S112" s="9"/>
    </row>
    <row r="113" spans="1:19" ht="14.25" customHeight="1">
      <c r="A113" s="29"/>
      <c r="B113" s="6"/>
      <c r="C113" s="6"/>
      <c r="D113" s="6"/>
      <c r="E113" s="6"/>
      <c r="F113" s="6"/>
      <c r="G113" s="6"/>
      <c r="H113" s="6"/>
      <c r="I113" s="18"/>
      <c r="J113" s="6"/>
      <c r="K113" s="6"/>
      <c r="L113" s="9"/>
      <c r="M113" s="6"/>
      <c r="N113" s="6"/>
      <c r="O113" s="9"/>
      <c r="P113" s="6"/>
      <c r="Q113" s="6"/>
      <c r="R113" s="18"/>
      <c r="S113" s="9"/>
    </row>
    <row r="114" spans="1:19" ht="14.25" customHeight="1">
      <c r="A114" s="29"/>
      <c r="B114" s="6"/>
      <c r="C114" s="6"/>
      <c r="D114" s="6"/>
      <c r="E114" s="6"/>
      <c r="F114" s="6"/>
      <c r="G114" s="6"/>
      <c r="H114" s="6"/>
      <c r="I114" s="18"/>
      <c r="J114" s="6"/>
      <c r="K114" s="6"/>
      <c r="L114" s="9"/>
      <c r="M114" s="6"/>
      <c r="N114" s="6"/>
      <c r="O114" s="9"/>
      <c r="P114" s="6"/>
      <c r="Q114" s="6"/>
      <c r="R114" s="18"/>
      <c r="S114" s="9"/>
    </row>
    <row r="115" spans="1:19" ht="14.25" customHeight="1">
      <c r="A115" s="29"/>
      <c r="B115" s="6"/>
      <c r="C115" s="6"/>
      <c r="D115" s="6"/>
      <c r="E115" s="6"/>
      <c r="F115" s="6"/>
      <c r="G115" s="6"/>
      <c r="H115" s="6"/>
      <c r="I115" s="18"/>
      <c r="J115" s="6"/>
      <c r="K115" s="6"/>
      <c r="L115" s="9"/>
      <c r="M115" s="6"/>
      <c r="N115" s="6"/>
      <c r="O115" s="9"/>
      <c r="P115" s="6"/>
      <c r="Q115" s="6"/>
      <c r="R115" s="18"/>
      <c r="S115" s="9"/>
    </row>
    <row r="116" spans="1:19" ht="14.25" customHeight="1">
      <c r="A116" s="29"/>
      <c r="B116" s="6"/>
      <c r="C116" s="6"/>
      <c r="D116" s="6"/>
      <c r="E116" s="6"/>
      <c r="F116" s="6"/>
      <c r="G116" s="6"/>
      <c r="H116" s="6"/>
      <c r="I116" s="18"/>
      <c r="J116" s="6"/>
      <c r="K116" s="6"/>
      <c r="L116" s="9"/>
      <c r="M116" s="6"/>
      <c r="N116" s="6"/>
      <c r="O116" s="9"/>
      <c r="P116" s="6"/>
      <c r="Q116" s="6"/>
      <c r="R116" s="18"/>
      <c r="S116" s="9"/>
    </row>
    <row r="117" spans="1:19" ht="14.25" customHeight="1">
      <c r="A117" s="29"/>
      <c r="B117" s="6"/>
      <c r="C117" s="6"/>
      <c r="D117" s="6"/>
      <c r="E117" s="6"/>
      <c r="F117" s="6"/>
      <c r="G117" s="6"/>
      <c r="H117" s="6"/>
      <c r="I117" s="18"/>
      <c r="J117" s="6"/>
      <c r="K117" s="6"/>
      <c r="L117" s="9"/>
      <c r="M117" s="6"/>
      <c r="N117" s="6"/>
      <c r="O117" s="9"/>
      <c r="P117" s="6"/>
      <c r="Q117" s="6"/>
      <c r="R117" s="18"/>
      <c r="S117" s="9"/>
    </row>
    <row r="118" spans="1:19" ht="14.25" customHeight="1">
      <c r="A118" s="29"/>
      <c r="B118" s="6"/>
      <c r="C118" s="6"/>
      <c r="D118" s="6"/>
      <c r="E118" s="6"/>
      <c r="F118" s="6"/>
      <c r="G118" s="6"/>
      <c r="H118" s="6"/>
      <c r="I118" s="18"/>
      <c r="J118" s="6"/>
      <c r="K118" s="6"/>
      <c r="L118" s="9"/>
      <c r="M118" s="6"/>
      <c r="N118" s="6"/>
      <c r="O118" s="9"/>
      <c r="P118" s="6"/>
      <c r="Q118" s="6"/>
      <c r="R118" s="18"/>
      <c r="S118" s="9"/>
    </row>
    <row r="119" spans="1:19" ht="14.25" customHeight="1">
      <c r="A119" s="29"/>
      <c r="B119" s="6"/>
      <c r="C119" s="6"/>
      <c r="D119" s="6"/>
      <c r="E119" s="6"/>
      <c r="F119" s="6"/>
      <c r="G119" s="6"/>
      <c r="H119" s="6"/>
      <c r="I119" s="18"/>
      <c r="J119" s="6"/>
      <c r="K119" s="6"/>
      <c r="L119" s="9"/>
      <c r="M119" s="6"/>
      <c r="N119" s="6"/>
      <c r="O119" s="9"/>
      <c r="P119" s="6"/>
      <c r="Q119" s="6"/>
      <c r="R119" s="18"/>
      <c r="S119" s="9"/>
    </row>
    <row r="120" spans="1:19" ht="14.25" customHeight="1">
      <c r="A120" s="29"/>
      <c r="B120" s="6"/>
      <c r="C120" s="6"/>
      <c r="D120" s="6"/>
      <c r="E120" s="6"/>
      <c r="F120" s="6"/>
      <c r="G120" s="6"/>
      <c r="H120" s="6"/>
      <c r="I120" s="18"/>
      <c r="J120" s="6"/>
      <c r="K120" s="6"/>
      <c r="L120" s="9"/>
      <c r="M120" s="6"/>
      <c r="N120" s="6"/>
      <c r="O120" s="9"/>
      <c r="P120" s="6"/>
      <c r="Q120" s="6"/>
      <c r="R120" s="18"/>
      <c r="S120" s="9"/>
    </row>
    <row r="121" spans="1:19" ht="14.25" customHeight="1">
      <c r="A121" s="29"/>
      <c r="B121" s="6"/>
      <c r="C121" s="6"/>
      <c r="D121" s="6"/>
      <c r="E121" s="6"/>
      <c r="F121" s="6"/>
      <c r="G121" s="6"/>
      <c r="H121" s="6"/>
      <c r="I121" s="18"/>
      <c r="J121" s="6"/>
      <c r="K121" s="6"/>
      <c r="L121" s="9"/>
      <c r="M121" s="6"/>
      <c r="N121" s="6"/>
      <c r="O121" s="9"/>
      <c r="P121" s="6"/>
      <c r="Q121" s="6"/>
      <c r="R121" s="18"/>
      <c r="S121" s="9"/>
    </row>
    <row r="122" spans="1:19" ht="14.25" customHeight="1">
      <c r="A122" s="29"/>
      <c r="B122" s="6"/>
      <c r="C122" s="6"/>
      <c r="D122" s="6"/>
      <c r="E122" s="6"/>
      <c r="F122" s="6"/>
      <c r="G122" s="6"/>
      <c r="H122" s="6"/>
      <c r="I122" s="18"/>
      <c r="J122" s="6"/>
      <c r="K122" s="6"/>
      <c r="L122" s="9"/>
      <c r="M122" s="6"/>
      <c r="N122" s="6"/>
      <c r="O122" s="9"/>
      <c r="P122" s="6"/>
      <c r="Q122" s="6"/>
      <c r="R122" s="18"/>
      <c r="S122" s="9"/>
    </row>
    <row r="123" spans="1:19" ht="14.25" customHeight="1">
      <c r="A123" s="29"/>
      <c r="B123" s="6"/>
      <c r="C123" s="6"/>
      <c r="D123" s="6"/>
      <c r="E123" s="6"/>
      <c r="F123" s="6"/>
      <c r="G123" s="6"/>
      <c r="H123" s="6"/>
      <c r="I123" s="18"/>
      <c r="J123" s="6"/>
      <c r="K123" s="6"/>
      <c r="L123" s="9"/>
      <c r="M123" s="6"/>
      <c r="N123" s="6"/>
      <c r="O123" s="9"/>
      <c r="P123" s="6"/>
      <c r="Q123" s="6"/>
      <c r="R123" s="18"/>
      <c r="S123" s="9"/>
    </row>
    <row r="124" spans="1:19" ht="14.25" customHeight="1">
      <c r="A124" s="29"/>
      <c r="B124" s="6"/>
      <c r="C124" s="6"/>
      <c r="D124" s="6"/>
      <c r="E124" s="6"/>
      <c r="F124" s="6"/>
      <c r="G124" s="6"/>
      <c r="H124" s="6"/>
      <c r="I124" s="18"/>
      <c r="J124" s="6"/>
      <c r="K124" s="6"/>
      <c r="L124" s="9"/>
      <c r="M124" s="6"/>
      <c r="N124" s="6"/>
      <c r="O124" s="9"/>
      <c r="P124" s="6"/>
      <c r="Q124" s="6"/>
      <c r="R124" s="18"/>
      <c r="S124" s="9"/>
    </row>
    <row r="125" spans="1:19" ht="14.25" customHeight="1">
      <c r="A125" s="29"/>
      <c r="B125" s="6"/>
      <c r="C125" s="6"/>
      <c r="D125" s="6"/>
      <c r="E125" s="6"/>
      <c r="F125" s="6"/>
      <c r="G125" s="6"/>
      <c r="H125" s="6"/>
      <c r="I125" s="18"/>
      <c r="J125" s="6"/>
      <c r="K125" s="6"/>
      <c r="L125" s="9"/>
      <c r="M125" s="6"/>
      <c r="N125" s="6"/>
      <c r="O125" s="9"/>
      <c r="P125" s="6"/>
      <c r="Q125" s="6"/>
      <c r="R125" s="18"/>
      <c r="S125" s="9"/>
    </row>
    <row r="126" spans="1:19" ht="14.25" customHeight="1">
      <c r="A126" s="29"/>
      <c r="B126" s="6"/>
      <c r="C126" s="6"/>
      <c r="D126" s="6"/>
      <c r="E126" s="6"/>
      <c r="F126" s="6"/>
      <c r="G126" s="6"/>
      <c r="H126" s="6"/>
      <c r="I126" s="18"/>
      <c r="J126" s="6"/>
      <c r="K126" s="6"/>
      <c r="L126" s="9"/>
      <c r="M126" s="6"/>
      <c r="N126" s="6"/>
      <c r="O126" s="9"/>
      <c r="P126" s="6"/>
      <c r="Q126" s="6"/>
      <c r="R126" s="18"/>
      <c r="S126" s="9"/>
    </row>
    <row r="127" spans="1:19" ht="14.25" customHeight="1">
      <c r="A127" s="29"/>
      <c r="B127" s="6"/>
      <c r="C127" s="6"/>
      <c r="D127" s="6"/>
      <c r="E127" s="6"/>
      <c r="F127" s="6"/>
      <c r="G127" s="6"/>
      <c r="H127" s="6"/>
      <c r="I127" s="18"/>
      <c r="J127" s="6"/>
      <c r="K127" s="6"/>
      <c r="L127" s="9"/>
      <c r="M127" s="6"/>
      <c r="N127" s="6"/>
      <c r="O127" s="9"/>
      <c r="P127" s="6"/>
      <c r="Q127" s="6"/>
      <c r="R127" s="18"/>
      <c r="S127" s="9"/>
    </row>
    <row r="128" spans="1:19" ht="14.25" customHeight="1">
      <c r="A128" s="29"/>
      <c r="B128" s="6"/>
      <c r="C128" s="6"/>
      <c r="D128" s="6"/>
      <c r="E128" s="6"/>
      <c r="F128" s="6"/>
      <c r="G128" s="6"/>
      <c r="H128" s="6"/>
      <c r="I128" s="18"/>
      <c r="J128" s="6"/>
      <c r="K128" s="6"/>
      <c r="L128" s="9"/>
      <c r="M128" s="6"/>
      <c r="N128" s="6"/>
      <c r="O128" s="9"/>
      <c r="P128" s="6"/>
      <c r="Q128" s="6"/>
      <c r="R128" s="18"/>
      <c r="S128" s="9"/>
    </row>
    <row r="129" spans="1:19" ht="14.25" customHeight="1">
      <c r="A129" s="29"/>
      <c r="B129" s="6"/>
      <c r="C129" s="6"/>
      <c r="D129" s="6"/>
      <c r="E129" s="6"/>
      <c r="F129" s="6"/>
      <c r="G129" s="6"/>
      <c r="H129" s="6"/>
      <c r="I129" s="18"/>
      <c r="J129" s="6"/>
      <c r="K129" s="6"/>
      <c r="L129" s="9"/>
      <c r="M129" s="6"/>
      <c r="N129" s="6"/>
      <c r="O129" s="9"/>
      <c r="P129" s="6"/>
      <c r="Q129" s="6"/>
      <c r="R129" s="18"/>
      <c r="S129" s="9"/>
    </row>
    <row r="130" spans="1:19" ht="14.25" customHeight="1">
      <c r="A130" s="29"/>
      <c r="B130" s="6"/>
      <c r="C130" s="6"/>
      <c r="D130" s="6"/>
      <c r="E130" s="6"/>
      <c r="F130" s="6"/>
      <c r="G130" s="6"/>
      <c r="H130" s="6"/>
      <c r="I130" s="18"/>
      <c r="J130" s="6"/>
      <c r="K130" s="6"/>
      <c r="L130" s="9"/>
      <c r="M130" s="6"/>
      <c r="N130" s="6"/>
      <c r="O130" s="9"/>
      <c r="P130" s="6"/>
      <c r="Q130" s="6"/>
      <c r="R130" s="18"/>
      <c r="S130" s="9"/>
    </row>
    <row r="131" spans="1:19" ht="14.25" customHeight="1">
      <c r="A131" s="29"/>
      <c r="B131" s="6"/>
      <c r="C131" s="6"/>
      <c r="D131" s="6"/>
      <c r="E131" s="6"/>
      <c r="F131" s="6"/>
      <c r="G131" s="6"/>
      <c r="H131" s="6"/>
      <c r="I131" s="18"/>
      <c r="J131" s="6"/>
      <c r="K131" s="6"/>
      <c r="L131" s="9"/>
      <c r="M131" s="6"/>
      <c r="N131" s="6"/>
      <c r="O131" s="9"/>
      <c r="P131" s="6"/>
      <c r="Q131" s="6"/>
      <c r="R131" s="18"/>
      <c r="S131" s="9"/>
    </row>
    <row r="132" spans="1:19" ht="14.25" customHeight="1">
      <c r="A132" s="29"/>
      <c r="B132" s="6"/>
      <c r="C132" s="6"/>
      <c r="D132" s="6"/>
      <c r="E132" s="6"/>
      <c r="F132" s="6"/>
      <c r="G132" s="6"/>
      <c r="H132" s="6"/>
      <c r="I132" s="18"/>
      <c r="J132" s="6"/>
      <c r="K132" s="6"/>
      <c r="L132" s="9"/>
      <c r="M132" s="6"/>
      <c r="N132" s="6"/>
      <c r="O132" s="9"/>
      <c r="P132" s="6"/>
      <c r="Q132" s="6"/>
      <c r="R132" s="18"/>
      <c r="S132" s="9"/>
    </row>
    <row r="133" spans="1:19" ht="14.25" customHeight="1">
      <c r="A133" s="29"/>
      <c r="B133" s="6"/>
      <c r="C133" s="6"/>
      <c r="D133" s="6"/>
      <c r="E133" s="6"/>
      <c r="F133" s="6"/>
      <c r="G133" s="6"/>
      <c r="H133" s="6"/>
      <c r="I133" s="18"/>
      <c r="J133" s="6"/>
      <c r="K133" s="6"/>
      <c r="L133" s="9"/>
      <c r="M133" s="6"/>
      <c r="N133" s="6"/>
      <c r="O133" s="9"/>
      <c r="P133" s="6"/>
      <c r="Q133" s="6"/>
      <c r="R133" s="18"/>
      <c r="S133" s="9"/>
    </row>
    <row r="134" spans="1:19" ht="14.25" customHeight="1">
      <c r="A134" s="29"/>
      <c r="B134" s="6"/>
      <c r="C134" s="6"/>
      <c r="D134" s="6"/>
      <c r="E134" s="6"/>
      <c r="F134" s="6"/>
      <c r="G134" s="6"/>
      <c r="H134" s="6"/>
      <c r="I134" s="18"/>
      <c r="J134" s="6"/>
      <c r="K134" s="6"/>
      <c r="L134" s="9"/>
      <c r="M134" s="6"/>
      <c r="N134" s="6"/>
      <c r="O134" s="9"/>
      <c r="P134" s="6"/>
      <c r="Q134" s="6"/>
      <c r="R134" s="18"/>
      <c r="S134" s="9"/>
    </row>
    <row r="135" spans="1:19" ht="14.25" customHeight="1">
      <c r="A135" s="29"/>
      <c r="B135" s="6"/>
      <c r="C135" s="6"/>
      <c r="D135" s="6"/>
      <c r="E135" s="6"/>
      <c r="F135" s="6"/>
      <c r="G135" s="6"/>
      <c r="H135" s="6"/>
      <c r="I135" s="18"/>
      <c r="J135" s="6"/>
      <c r="K135" s="6"/>
      <c r="L135" s="9"/>
      <c r="M135" s="6"/>
      <c r="N135" s="6"/>
      <c r="O135" s="9"/>
      <c r="P135" s="6"/>
      <c r="Q135" s="6"/>
      <c r="R135" s="18"/>
      <c r="S135" s="9"/>
    </row>
    <row r="136" spans="1:19" ht="14.25" customHeight="1">
      <c r="A136" s="29"/>
      <c r="B136" s="6"/>
      <c r="C136" s="6"/>
      <c r="D136" s="6"/>
      <c r="E136" s="6"/>
      <c r="F136" s="6"/>
      <c r="G136" s="6"/>
      <c r="H136" s="6"/>
      <c r="I136" s="18"/>
      <c r="J136" s="6"/>
      <c r="K136" s="6"/>
      <c r="L136" s="9"/>
      <c r="M136" s="6"/>
      <c r="N136" s="6"/>
      <c r="O136" s="9"/>
      <c r="P136" s="6"/>
      <c r="Q136" s="6"/>
      <c r="R136" s="18"/>
      <c r="S136" s="9"/>
    </row>
    <row r="137" spans="1:19" ht="14.25" customHeight="1">
      <c r="A137" s="29"/>
      <c r="B137" s="6"/>
      <c r="C137" s="6"/>
      <c r="D137" s="6"/>
      <c r="E137" s="6"/>
      <c r="F137" s="6"/>
      <c r="G137" s="6"/>
      <c r="H137" s="6"/>
      <c r="I137" s="18"/>
      <c r="J137" s="6"/>
      <c r="K137" s="6"/>
      <c r="L137" s="9"/>
      <c r="M137" s="6"/>
      <c r="N137" s="6"/>
      <c r="O137" s="9"/>
      <c r="P137" s="6"/>
      <c r="Q137" s="6"/>
      <c r="R137" s="18"/>
      <c r="S137" s="9"/>
    </row>
    <row r="138" spans="1:19" ht="14.25" customHeight="1">
      <c r="A138" s="29"/>
      <c r="B138" s="6"/>
      <c r="C138" s="6"/>
      <c r="D138" s="6"/>
      <c r="E138" s="6"/>
      <c r="F138" s="6"/>
      <c r="G138" s="6"/>
      <c r="H138" s="6"/>
      <c r="I138" s="18"/>
      <c r="J138" s="6"/>
      <c r="K138" s="6"/>
      <c r="L138" s="9"/>
      <c r="M138" s="6"/>
      <c r="N138" s="6"/>
      <c r="O138" s="9"/>
      <c r="P138" s="6"/>
      <c r="Q138" s="6"/>
      <c r="R138" s="18"/>
      <c r="S138" s="9"/>
    </row>
    <row r="139" spans="1:19" ht="14.25" customHeight="1">
      <c r="A139" s="29"/>
      <c r="B139" s="6"/>
      <c r="C139" s="6"/>
      <c r="D139" s="6"/>
      <c r="E139" s="6"/>
      <c r="F139" s="6"/>
      <c r="G139" s="6"/>
      <c r="H139" s="6"/>
      <c r="I139" s="18"/>
      <c r="J139" s="6"/>
      <c r="K139" s="6"/>
      <c r="L139" s="9"/>
      <c r="M139" s="6"/>
      <c r="N139" s="6"/>
      <c r="O139" s="9"/>
      <c r="P139" s="6"/>
      <c r="Q139" s="6"/>
      <c r="R139" s="18"/>
      <c r="S139" s="9"/>
    </row>
    <row r="140" spans="1:19" ht="14.25" customHeight="1">
      <c r="A140" s="29"/>
      <c r="B140" s="6"/>
      <c r="C140" s="6"/>
      <c r="D140" s="6"/>
      <c r="E140" s="6"/>
      <c r="F140" s="6"/>
      <c r="G140" s="6"/>
      <c r="H140" s="6"/>
      <c r="I140" s="18"/>
      <c r="J140" s="6"/>
      <c r="K140" s="6"/>
      <c r="L140" s="9"/>
      <c r="M140" s="6"/>
      <c r="N140" s="6"/>
      <c r="O140" s="9"/>
      <c r="P140" s="6"/>
      <c r="Q140" s="6"/>
      <c r="R140" s="18"/>
      <c r="S140" s="9"/>
    </row>
    <row r="141" spans="1:19" ht="14.25" customHeight="1">
      <c r="A141" s="29"/>
      <c r="B141" s="6"/>
      <c r="C141" s="6"/>
      <c r="D141" s="6"/>
      <c r="E141" s="6"/>
      <c r="F141" s="6"/>
      <c r="G141" s="6"/>
      <c r="H141" s="6"/>
      <c r="I141" s="18"/>
      <c r="J141" s="6"/>
      <c r="K141" s="6"/>
      <c r="L141" s="9"/>
      <c r="M141" s="6"/>
      <c r="N141" s="6"/>
      <c r="O141" s="9"/>
      <c r="P141" s="6"/>
      <c r="Q141" s="6"/>
      <c r="R141" s="18"/>
      <c r="S141" s="9"/>
    </row>
    <row r="142" spans="1:19" ht="14.25" customHeight="1">
      <c r="A142" s="29"/>
      <c r="B142" s="6"/>
      <c r="C142" s="6"/>
      <c r="D142" s="6"/>
      <c r="E142" s="6"/>
      <c r="F142" s="6"/>
      <c r="G142" s="6"/>
      <c r="H142" s="6"/>
      <c r="I142" s="18"/>
      <c r="J142" s="6"/>
      <c r="K142" s="6"/>
      <c r="L142" s="9"/>
      <c r="M142" s="6"/>
      <c r="N142" s="6"/>
      <c r="O142" s="9"/>
      <c r="P142" s="6"/>
      <c r="Q142" s="6"/>
      <c r="R142" s="18"/>
      <c r="S142" s="9"/>
    </row>
    <row r="143" spans="1:19" ht="14.25" customHeight="1">
      <c r="A143" s="29"/>
      <c r="B143" s="6"/>
      <c r="C143" s="6"/>
      <c r="D143" s="6"/>
      <c r="E143" s="6"/>
      <c r="F143" s="6"/>
      <c r="G143" s="6"/>
      <c r="H143" s="6"/>
      <c r="I143" s="18"/>
      <c r="J143" s="6"/>
      <c r="K143" s="6"/>
      <c r="L143" s="9"/>
      <c r="M143" s="6"/>
      <c r="N143" s="6"/>
      <c r="O143" s="9"/>
      <c r="P143" s="6"/>
      <c r="Q143" s="6"/>
      <c r="R143" s="18"/>
      <c r="S143" s="9"/>
    </row>
    <row r="144" spans="1:19" ht="14.25" customHeight="1">
      <c r="A144" s="29"/>
      <c r="B144" s="6"/>
      <c r="C144" s="6"/>
      <c r="D144" s="6"/>
      <c r="E144" s="6"/>
      <c r="F144" s="6"/>
      <c r="G144" s="6"/>
      <c r="H144" s="6"/>
      <c r="I144" s="18"/>
      <c r="J144" s="6"/>
      <c r="K144" s="6"/>
      <c r="L144" s="9"/>
      <c r="M144" s="6"/>
      <c r="N144" s="6"/>
      <c r="O144" s="9"/>
      <c r="P144" s="6"/>
      <c r="Q144" s="6"/>
      <c r="R144" s="18"/>
      <c r="S144" s="9"/>
    </row>
    <row r="145" spans="1:19" ht="14.25" customHeight="1">
      <c r="A145" s="29"/>
      <c r="B145" s="6"/>
      <c r="C145" s="6"/>
      <c r="D145" s="6"/>
      <c r="E145" s="6"/>
      <c r="F145" s="6"/>
      <c r="G145" s="6"/>
      <c r="H145" s="6"/>
      <c r="I145" s="18"/>
      <c r="J145" s="6"/>
      <c r="K145" s="6"/>
      <c r="L145" s="9"/>
      <c r="M145" s="6"/>
      <c r="N145" s="6"/>
      <c r="O145" s="9"/>
      <c r="P145" s="6"/>
      <c r="Q145" s="6"/>
      <c r="R145" s="18"/>
      <c r="S145" s="9"/>
    </row>
    <row r="146" spans="1:19" ht="14.25" customHeight="1">
      <c r="A146" s="29"/>
      <c r="B146" s="6"/>
      <c r="C146" s="6"/>
      <c r="D146" s="6"/>
      <c r="E146" s="6"/>
      <c r="F146" s="6"/>
      <c r="G146" s="6"/>
      <c r="H146" s="6"/>
      <c r="I146" s="18"/>
      <c r="J146" s="6"/>
      <c r="K146" s="6"/>
      <c r="L146" s="9"/>
      <c r="M146" s="6"/>
      <c r="N146" s="6"/>
      <c r="O146" s="9"/>
      <c r="P146" s="6"/>
      <c r="Q146" s="6"/>
      <c r="R146" s="18"/>
      <c r="S146" s="9"/>
    </row>
    <row r="147" spans="1:19" ht="14.25" customHeight="1">
      <c r="A147" s="29"/>
      <c r="B147" s="6"/>
      <c r="C147" s="6"/>
      <c r="D147" s="6"/>
      <c r="E147" s="6"/>
      <c r="F147" s="6"/>
      <c r="G147" s="6"/>
      <c r="H147" s="6"/>
      <c r="I147" s="18"/>
      <c r="J147" s="6"/>
      <c r="K147" s="6"/>
      <c r="L147" s="9"/>
      <c r="M147" s="6"/>
      <c r="N147" s="6"/>
      <c r="O147" s="9"/>
      <c r="P147" s="6"/>
      <c r="Q147" s="6"/>
      <c r="R147" s="18"/>
      <c r="S147" s="9"/>
    </row>
    <row r="148" spans="1:19" ht="14.25" customHeight="1">
      <c r="A148" s="29"/>
      <c r="B148" s="6"/>
      <c r="C148" s="6"/>
      <c r="D148" s="6"/>
      <c r="E148" s="6"/>
      <c r="F148" s="6"/>
      <c r="G148" s="6"/>
      <c r="H148" s="6"/>
      <c r="I148" s="18"/>
      <c r="J148" s="6"/>
      <c r="K148" s="6"/>
      <c r="L148" s="9"/>
      <c r="M148" s="6"/>
      <c r="N148" s="6"/>
      <c r="O148" s="9"/>
      <c r="P148" s="6"/>
      <c r="Q148" s="6"/>
      <c r="R148" s="18"/>
      <c r="S148" s="9"/>
    </row>
    <row r="149" spans="1:19" ht="14.25" customHeight="1">
      <c r="A149" s="29"/>
      <c r="B149" s="6"/>
      <c r="C149" s="6"/>
      <c r="D149" s="6"/>
      <c r="E149" s="6"/>
      <c r="F149" s="6"/>
      <c r="G149" s="6"/>
      <c r="H149" s="6"/>
      <c r="I149" s="18"/>
      <c r="J149" s="6"/>
      <c r="K149" s="6"/>
      <c r="L149" s="9"/>
      <c r="M149" s="6"/>
      <c r="N149" s="6"/>
      <c r="O149" s="9"/>
      <c r="P149" s="6"/>
      <c r="Q149" s="6"/>
      <c r="R149" s="18"/>
      <c r="S149" s="9"/>
    </row>
    <row r="150" spans="1:19" ht="14.25" customHeight="1">
      <c r="A150" s="29"/>
      <c r="B150" s="6"/>
      <c r="C150" s="6"/>
      <c r="D150" s="6"/>
      <c r="E150" s="6"/>
      <c r="F150" s="6"/>
      <c r="G150" s="6"/>
      <c r="H150" s="6"/>
      <c r="I150" s="18"/>
      <c r="J150" s="6"/>
      <c r="K150" s="6"/>
      <c r="L150" s="9"/>
      <c r="M150" s="6"/>
      <c r="N150" s="6"/>
      <c r="O150" s="9"/>
      <c r="P150" s="6"/>
      <c r="Q150" s="6"/>
      <c r="R150" s="18"/>
      <c r="S150" s="9"/>
    </row>
    <row r="151" spans="1:19" ht="14.25" customHeight="1">
      <c r="A151" s="29"/>
      <c r="B151" s="6"/>
      <c r="C151" s="6"/>
      <c r="D151" s="6"/>
      <c r="E151" s="6"/>
      <c r="F151" s="6"/>
      <c r="G151" s="6"/>
      <c r="H151" s="6"/>
      <c r="I151" s="18"/>
      <c r="J151" s="6"/>
      <c r="K151" s="6"/>
      <c r="L151" s="9"/>
      <c r="M151" s="6"/>
      <c r="N151" s="6"/>
      <c r="O151" s="9"/>
      <c r="P151" s="6"/>
      <c r="Q151" s="6"/>
      <c r="R151" s="18"/>
      <c r="S151" s="9"/>
    </row>
    <row r="152" spans="1:19" ht="14.25" customHeight="1">
      <c r="A152" s="29"/>
      <c r="B152" s="6"/>
      <c r="C152" s="6"/>
      <c r="D152" s="6"/>
      <c r="E152" s="6"/>
      <c r="F152" s="6"/>
      <c r="G152" s="6"/>
      <c r="H152" s="6"/>
      <c r="I152" s="18"/>
      <c r="J152" s="6"/>
      <c r="K152" s="6"/>
      <c r="L152" s="9"/>
      <c r="M152" s="6"/>
      <c r="N152" s="6"/>
      <c r="O152" s="9"/>
      <c r="P152" s="6"/>
      <c r="Q152" s="6"/>
      <c r="R152" s="18"/>
      <c r="S152" s="9"/>
    </row>
    <row r="153" spans="1:19" ht="14.25" customHeight="1">
      <c r="A153" s="29"/>
      <c r="B153" s="6"/>
      <c r="C153" s="6"/>
      <c r="D153" s="6"/>
      <c r="E153" s="6"/>
      <c r="F153" s="6"/>
      <c r="G153" s="6"/>
      <c r="H153" s="6"/>
      <c r="I153" s="18"/>
      <c r="J153" s="6"/>
      <c r="K153" s="6"/>
      <c r="L153" s="9"/>
      <c r="M153" s="6"/>
      <c r="N153" s="6"/>
      <c r="O153" s="9"/>
      <c r="P153" s="6"/>
      <c r="Q153" s="6"/>
      <c r="R153" s="18"/>
      <c r="S153" s="9"/>
    </row>
    <row r="154" spans="1:19" ht="14.25" customHeight="1">
      <c r="A154" s="29"/>
      <c r="B154" s="6"/>
      <c r="C154" s="6"/>
      <c r="D154" s="6"/>
      <c r="E154" s="6"/>
      <c r="F154" s="6"/>
      <c r="G154" s="6"/>
      <c r="H154" s="6"/>
      <c r="I154" s="18"/>
      <c r="J154" s="6"/>
      <c r="K154" s="6"/>
      <c r="L154" s="9"/>
      <c r="M154" s="6"/>
      <c r="N154" s="6"/>
      <c r="O154" s="9"/>
      <c r="P154" s="6"/>
      <c r="Q154" s="6"/>
      <c r="R154" s="18"/>
      <c r="S154" s="9"/>
    </row>
    <row r="155" spans="1:19" ht="14.25" customHeight="1">
      <c r="A155" s="29"/>
      <c r="B155" s="6"/>
      <c r="C155" s="6"/>
      <c r="D155" s="6"/>
      <c r="E155" s="6"/>
      <c r="F155" s="6"/>
      <c r="G155" s="6"/>
      <c r="H155" s="6"/>
      <c r="I155" s="18"/>
      <c r="J155" s="6"/>
      <c r="K155" s="6"/>
      <c r="L155" s="9"/>
      <c r="M155" s="6"/>
      <c r="N155" s="6"/>
      <c r="O155" s="9"/>
      <c r="P155" s="6"/>
      <c r="Q155" s="6"/>
      <c r="R155" s="18"/>
      <c r="S155" s="9"/>
    </row>
    <row r="156" spans="1:19" ht="14.25" customHeight="1">
      <c r="A156" s="29"/>
      <c r="B156" s="6"/>
      <c r="C156" s="6"/>
      <c r="D156" s="6"/>
      <c r="E156" s="6"/>
      <c r="F156" s="6"/>
      <c r="G156" s="6"/>
      <c r="H156" s="6"/>
      <c r="I156" s="18"/>
      <c r="J156" s="6"/>
      <c r="K156" s="6"/>
      <c r="L156" s="9"/>
      <c r="M156" s="6"/>
      <c r="N156" s="6"/>
      <c r="O156" s="9"/>
      <c r="P156" s="6"/>
      <c r="Q156" s="6"/>
      <c r="R156" s="18"/>
      <c r="S156" s="9"/>
    </row>
    <row r="157" spans="1:19" ht="14.25" customHeight="1">
      <c r="A157" s="29"/>
      <c r="B157" s="6"/>
      <c r="C157" s="6"/>
      <c r="D157" s="6"/>
      <c r="E157" s="6"/>
      <c r="F157" s="6"/>
      <c r="G157" s="6"/>
      <c r="H157" s="6"/>
      <c r="I157" s="18"/>
      <c r="J157" s="6"/>
      <c r="K157" s="6"/>
      <c r="L157" s="9"/>
      <c r="M157" s="6"/>
      <c r="N157" s="6"/>
      <c r="O157" s="9"/>
      <c r="P157" s="6"/>
      <c r="Q157" s="6"/>
      <c r="R157" s="18"/>
      <c r="S157" s="9"/>
    </row>
    <row r="158" spans="1:19" ht="14.25" customHeight="1">
      <c r="A158" s="29"/>
      <c r="B158" s="6"/>
      <c r="C158" s="6"/>
      <c r="D158" s="6"/>
      <c r="E158" s="6"/>
      <c r="F158" s="6"/>
      <c r="G158" s="6"/>
      <c r="H158" s="6"/>
      <c r="I158" s="18"/>
      <c r="J158" s="6"/>
      <c r="K158" s="6"/>
      <c r="L158" s="9"/>
      <c r="M158" s="6"/>
      <c r="N158" s="6"/>
      <c r="O158" s="9"/>
      <c r="P158" s="6"/>
      <c r="Q158" s="6"/>
      <c r="R158" s="18"/>
      <c r="S158" s="9"/>
    </row>
    <row r="159" spans="1:19" ht="14.25" customHeight="1">
      <c r="A159" s="29"/>
      <c r="B159" s="6"/>
      <c r="C159" s="6"/>
      <c r="D159" s="6"/>
      <c r="E159" s="6"/>
      <c r="F159" s="6"/>
      <c r="G159" s="6"/>
      <c r="H159" s="6"/>
      <c r="I159" s="18"/>
      <c r="J159" s="6"/>
      <c r="K159" s="6"/>
      <c r="L159" s="9"/>
      <c r="M159" s="6"/>
      <c r="N159" s="6"/>
      <c r="O159" s="9"/>
      <c r="P159" s="6"/>
      <c r="Q159" s="6"/>
      <c r="R159" s="18"/>
      <c r="S159" s="9"/>
    </row>
    <row r="160" spans="1:19" ht="14.25" customHeight="1">
      <c r="A160" s="29"/>
      <c r="B160" s="6"/>
      <c r="C160" s="6"/>
      <c r="D160" s="6"/>
      <c r="E160" s="6"/>
      <c r="F160" s="6"/>
      <c r="G160" s="6"/>
      <c r="H160" s="6"/>
      <c r="I160" s="18"/>
      <c r="J160" s="6"/>
      <c r="K160" s="6"/>
      <c r="L160" s="9"/>
      <c r="M160" s="6"/>
      <c r="N160" s="6"/>
      <c r="O160" s="9"/>
      <c r="P160" s="6"/>
      <c r="Q160" s="6"/>
      <c r="R160" s="18"/>
      <c r="S160" s="9"/>
    </row>
    <row r="161" spans="1:19" ht="14.25" customHeight="1">
      <c r="A161" s="29"/>
      <c r="B161" s="6"/>
      <c r="C161" s="6"/>
      <c r="D161" s="6"/>
      <c r="E161" s="6"/>
      <c r="F161" s="6"/>
      <c r="G161" s="6"/>
      <c r="H161" s="6"/>
      <c r="I161" s="18"/>
      <c r="J161" s="6"/>
      <c r="K161" s="6"/>
      <c r="L161" s="9"/>
      <c r="M161" s="6"/>
      <c r="N161" s="6"/>
      <c r="O161" s="9"/>
      <c r="P161" s="6"/>
      <c r="Q161" s="6"/>
      <c r="R161" s="18"/>
      <c r="S161" s="9"/>
    </row>
    <row r="162" spans="1:19" ht="14.25" customHeight="1">
      <c r="A162" s="29"/>
      <c r="B162" s="6"/>
      <c r="C162" s="6"/>
      <c r="D162" s="6"/>
      <c r="E162" s="6"/>
      <c r="F162" s="6"/>
      <c r="G162" s="6"/>
      <c r="H162" s="6"/>
      <c r="I162" s="18"/>
      <c r="J162" s="6"/>
      <c r="K162" s="6"/>
      <c r="L162" s="9"/>
      <c r="M162" s="6"/>
      <c r="N162" s="6"/>
      <c r="O162" s="9"/>
      <c r="P162" s="6"/>
      <c r="Q162" s="6"/>
      <c r="R162" s="18"/>
      <c r="S162" s="9"/>
    </row>
    <row r="163" spans="1:19" ht="14.25" customHeight="1">
      <c r="A163" s="29"/>
      <c r="B163" s="6"/>
      <c r="C163" s="6"/>
      <c r="D163" s="6"/>
      <c r="E163" s="6"/>
      <c r="F163" s="6"/>
      <c r="G163" s="6"/>
      <c r="H163" s="6"/>
      <c r="I163" s="18"/>
      <c r="J163" s="6"/>
      <c r="K163" s="6"/>
      <c r="L163" s="9"/>
      <c r="M163" s="6"/>
      <c r="N163" s="6"/>
      <c r="O163" s="9"/>
      <c r="P163" s="6"/>
      <c r="Q163" s="6"/>
      <c r="R163" s="18"/>
      <c r="S163" s="9"/>
    </row>
    <row r="164" spans="1:19" ht="14.25" customHeight="1">
      <c r="A164" s="29"/>
      <c r="B164" s="6"/>
      <c r="C164" s="6"/>
      <c r="D164" s="6"/>
      <c r="E164" s="6"/>
      <c r="F164" s="6"/>
      <c r="G164" s="6"/>
      <c r="H164" s="6"/>
      <c r="I164" s="18"/>
      <c r="J164" s="6"/>
      <c r="K164" s="6"/>
      <c r="L164" s="9"/>
      <c r="M164" s="6"/>
      <c r="N164" s="6"/>
      <c r="O164" s="9"/>
      <c r="P164" s="6"/>
      <c r="Q164" s="6"/>
      <c r="R164" s="18"/>
      <c r="S164" s="9"/>
    </row>
    <row r="165" spans="1:19" ht="14.25" customHeight="1">
      <c r="A165" s="29"/>
      <c r="B165" s="6"/>
      <c r="C165" s="6"/>
      <c r="D165" s="6"/>
      <c r="E165" s="6"/>
      <c r="F165" s="6"/>
      <c r="G165" s="6"/>
      <c r="H165" s="6"/>
      <c r="I165" s="18"/>
      <c r="J165" s="6"/>
      <c r="K165" s="6"/>
      <c r="L165" s="9"/>
      <c r="M165" s="6"/>
      <c r="N165" s="6"/>
      <c r="O165" s="9"/>
      <c r="P165" s="6"/>
      <c r="Q165" s="6"/>
      <c r="R165" s="18"/>
      <c r="S165" s="9"/>
    </row>
    <row r="166" spans="1:19" ht="14.25" customHeight="1">
      <c r="A166" s="29"/>
      <c r="B166" s="6"/>
      <c r="C166" s="6"/>
      <c r="D166" s="6"/>
      <c r="E166" s="6"/>
      <c r="F166" s="6"/>
      <c r="G166" s="6"/>
      <c r="H166" s="6"/>
      <c r="I166" s="18"/>
      <c r="J166" s="6"/>
      <c r="K166" s="6"/>
      <c r="L166" s="9"/>
      <c r="M166" s="6"/>
      <c r="N166" s="6"/>
      <c r="O166" s="9"/>
      <c r="P166" s="6"/>
      <c r="Q166" s="6"/>
      <c r="R166" s="18"/>
      <c r="S166" s="9"/>
    </row>
    <row r="167" spans="1:19" ht="14.25" customHeight="1">
      <c r="A167" s="29"/>
      <c r="B167" s="6"/>
      <c r="C167" s="6"/>
      <c r="D167" s="6"/>
      <c r="E167" s="6"/>
      <c r="F167" s="6"/>
      <c r="G167" s="6"/>
      <c r="H167" s="6"/>
      <c r="I167" s="18"/>
      <c r="J167" s="6"/>
      <c r="K167" s="6"/>
      <c r="L167" s="9"/>
      <c r="M167" s="6"/>
      <c r="N167" s="6"/>
      <c r="O167" s="9"/>
      <c r="P167" s="6"/>
      <c r="Q167" s="6"/>
      <c r="R167" s="18"/>
      <c r="S167" s="9"/>
    </row>
    <row r="168" spans="1:19" ht="14.25" customHeight="1">
      <c r="A168" s="29"/>
      <c r="B168" s="6"/>
      <c r="C168" s="6"/>
      <c r="D168" s="6"/>
      <c r="E168" s="6"/>
      <c r="F168" s="6"/>
      <c r="G168" s="6"/>
      <c r="H168" s="6"/>
      <c r="I168" s="18"/>
      <c r="J168" s="6"/>
      <c r="K168" s="6"/>
      <c r="L168" s="9"/>
      <c r="M168" s="6"/>
      <c r="N168" s="6"/>
      <c r="O168" s="9"/>
      <c r="P168" s="6"/>
      <c r="Q168" s="6"/>
      <c r="R168" s="18"/>
      <c r="S168" s="9"/>
    </row>
    <row r="169" spans="1:19" ht="14.25" customHeight="1">
      <c r="A169" s="29"/>
      <c r="B169" s="6"/>
      <c r="C169" s="6"/>
      <c r="D169" s="6"/>
      <c r="E169" s="6"/>
      <c r="F169" s="6"/>
      <c r="G169" s="6"/>
      <c r="H169" s="6"/>
      <c r="I169" s="18"/>
      <c r="J169" s="6"/>
      <c r="K169" s="6"/>
      <c r="L169" s="9"/>
      <c r="M169" s="6"/>
      <c r="N169" s="6"/>
      <c r="O169" s="9"/>
      <c r="P169" s="6"/>
      <c r="Q169" s="6"/>
      <c r="R169" s="18"/>
      <c r="S169" s="9"/>
    </row>
    <row r="170" spans="1:19" ht="14.25" customHeight="1">
      <c r="A170" s="29"/>
      <c r="B170" s="6"/>
      <c r="C170" s="6"/>
      <c r="D170" s="6"/>
      <c r="E170" s="6"/>
      <c r="F170" s="6"/>
      <c r="G170" s="6"/>
      <c r="H170" s="6"/>
      <c r="I170" s="18"/>
      <c r="J170" s="6"/>
      <c r="K170" s="6"/>
      <c r="L170" s="9"/>
      <c r="M170" s="6"/>
      <c r="N170" s="6"/>
      <c r="O170" s="9"/>
      <c r="P170" s="6"/>
      <c r="Q170" s="6"/>
      <c r="R170" s="18"/>
      <c r="S170" s="9"/>
    </row>
    <row r="171" spans="1:19" ht="14.25" customHeight="1">
      <c r="A171" s="29"/>
      <c r="B171" s="6"/>
      <c r="C171" s="6"/>
      <c r="D171" s="6"/>
      <c r="E171" s="6"/>
      <c r="F171" s="6"/>
      <c r="G171" s="6"/>
      <c r="H171" s="6"/>
      <c r="I171" s="18"/>
      <c r="J171" s="6"/>
      <c r="K171" s="6"/>
      <c r="L171" s="9"/>
      <c r="M171" s="6"/>
      <c r="N171" s="6"/>
      <c r="O171" s="9"/>
      <c r="P171" s="6"/>
      <c r="Q171" s="6"/>
      <c r="R171" s="18"/>
      <c r="S171" s="9"/>
    </row>
    <row r="172" spans="1:19" ht="14.25" customHeight="1">
      <c r="A172" s="29"/>
      <c r="B172" s="6"/>
      <c r="C172" s="6"/>
      <c r="D172" s="6"/>
      <c r="E172" s="6"/>
      <c r="F172" s="6"/>
      <c r="G172" s="6"/>
      <c r="H172" s="6"/>
      <c r="I172" s="18"/>
      <c r="J172" s="6"/>
      <c r="K172" s="6"/>
      <c r="L172" s="9"/>
      <c r="M172" s="6"/>
      <c r="N172" s="6"/>
      <c r="O172" s="9"/>
      <c r="P172" s="6"/>
      <c r="Q172" s="6"/>
      <c r="R172" s="18"/>
      <c r="S172" s="9"/>
    </row>
    <row r="173" spans="1:19" ht="14.25" customHeight="1">
      <c r="A173" s="29"/>
      <c r="B173" s="6"/>
      <c r="C173" s="6"/>
      <c r="D173" s="6"/>
      <c r="E173" s="6"/>
      <c r="F173" s="6"/>
      <c r="G173" s="6"/>
      <c r="H173" s="6"/>
      <c r="I173" s="18"/>
      <c r="J173" s="6"/>
      <c r="K173" s="6"/>
      <c r="L173" s="9"/>
      <c r="M173" s="6"/>
      <c r="N173" s="6"/>
      <c r="O173" s="9"/>
      <c r="P173" s="6"/>
      <c r="Q173" s="6"/>
      <c r="R173" s="18"/>
      <c r="S173" s="9"/>
    </row>
    <row r="174" spans="1:19" ht="14.25" customHeight="1">
      <c r="A174" s="29"/>
      <c r="B174" s="6"/>
      <c r="C174" s="6"/>
      <c r="D174" s="6"/>
      <c r="E174" s="6"/>
      <c r="F174" s="6"/>
      <c r="G174" s="6"/>
      <c r="H174" s="6"/>
      <c r="I174" s="18"/>
      <c r="J174" s="6"/>
      <c r="K174" s="6"/>
      <c r="L174" s="9"/>
      <c r="M174" s="6"/>
      <c r="N174" s="6"/>
      <c r="O174" s="9"/>
      <c r="P174" s="6"/>
      <c r="Q174" s="6"/>
      <c r="R174" s="18"/>
      <c r="S174" s="9"/>
    </row>
    <row r="175" spans="1:19" ht="14.25" customHeight="1">
      <c r="A175" s="29"/>
      <c r="B175" s="6"/>
      <c r="C175" s="6"/>
      <c r="D175" s="6"/>
      <c r="E175" s="6"/>
      <c r="F175" s="6"/>
      <c r="G175" s="6"/>
      <c r="H175" s="6"/>
      <c r="I175" s="18"/>
      <c r="J175" s="6"/>
      <c r="K175" s="6"/>
      <c r="L175" s="9"/>
      <c r="M175" s="6"/>
      <c r="N175" s="6"/>
      <c r="O175" s="9"/>
      <c r="P175" s="6"/>
      <c r="Q175" s="6"/>
      <c r="R175" s="18"/>
      <c r="S175" s="9"/>
    </row>
    <row r="176" spans="1:19" ht="14.25" customHeight="1">
      <c r="A176" s="29"/>
      <c r="B176" s="6"/>
      <c r="C176" s="6"/>
      <c r="D176" s="6"/>
      <c r="E176" s="6"/>
      <c r="F176" s="6"/>
      <c r="G176" s="6"/>
      <c r="H176" s="6"/>
      <c r="I176" s="18"/>
      <c r="J176" s="6"/>
      <c r="K176" s="6"/>
      <c r="L176" s="9"/>
      <c r="M176" s="6"/>
      <c r="N176" s="6"/>
      <c r="O176" s="9"/>
      <c r="P176" s="6"/>
      <c r="Q176" s="6"/>
      <c r="R176" s="18"/>
      <c r="S176" s="9"/>
    </row>
    <row r="177" spans="1:19" ht="14.25" customHeight="1">
      <c r="A177" s="29"/>
      <c r="B177" s="6"/>
      <c r="C177" s="6"/>
      <c r="D177" s="6"/>
      <c r="E177" s="6"/>
      <c r="F177" s="6"/>
      <c r="G177" s="6"/>
      <c r="H177" s="6"/>
      <c r="I177" s="18"/>
      <c r="J177" s="6"/>
      <c r="K177" s="6"/>
      <c r="L177" s="9"/>
      <c r="M177" s="6"/>
      <c r="N177" s="6"/>
      <c r="O177" s="9"/>
      <c r="P177" s="6"/>
      <c r="Q177" s="6"/>
      <c r="R177" s="18"/>
      <c r="S177" s="9"/>
    </row>
    <row r="178" spans="1:19" ht="14.25" customHeight="1">
      <c r="A178" s="29"/>
      <c r="B178" s="6"/>
      <c r="C178" s="6"/>
      <c r="D178" s="6"/>
      <c r="E178" s="6"/>
      <c r="F178" s="6"/>
      <c r="G178" s="6"/>
      <c r="H178" s="6"/>
      <c r="I178" s="18"/>
      <c r="J178" s="6"/>
      <c r="K178" s="6"/>
      <c r="L178" s="9"/>
      <c r="M178" s="6"/>
      <c r="N178" s="6"/>
      <c r="O178" s="9"/>
      <c r="P178" s="6"/>
      <c r="Q178" s="6"/>
      <c r="R178" s="18"/>
      <c r="S178" s="9"/>
    </row>
    <row r="179" spans="1:19" ht="14.25" customHeight="1">
      <c r="A179" s="29"/>
      <c r="B179" s="6"/>
      <c r="C179" s="6"/>
      <c r="D179" s="6"/>
      <c r="E179" s="6"/>
      <c r="F179" s="6"/>
      <c r="G179" s="6"/>
      <c r="H179" s="6"/>
      <c r="I179" s="18"/>
      <c r="J179" s="6"/>
      <c r="K179" s="6"/>
      <c r="L179" s="9"/>
      <c r="M179" s="6"/>
      <c r="N179" s="6"/>
      <c r="O179" s="9"/>
      <c r="P179" s="6"/>
      <c r="Q179" s="6"/>
      <c r="R179" s="18"/>
      <c r="S179" s="9"/>
    </row>
    <row r="180" spans="1:19" ht="14.25" customHeight="1">
      <c r="A180" s="29"/>
      <c r="B180" s="6"/>
      <c r="C180" s="6"/>
      <c r="D180" s="6"/>
      <c r="E180" s="6"/>
      <c r="F180" s="6"/>
      <c r="G180" s="6"/>
      <c r="H180" s="6"/>
      <c r="I180" s="18"/>
      <c r="J180" s="6"/>
      <c r="K180" s="6"/>
      <c r="L180" s="9"/>
      <c r="M180" s="6"/>
      <c r="N180" s="6"/>
      <c r="O180" s="9"/>
      <c r="P180" s="6"/>
      <c r="Q180" s="6"/>
      <c r="R180" s="18"/>
      <c r="S180" s="9"/>
    </row>
    <row r="181" spans="1:19" ht="14.25" customHeight="1">
      <c r="A181" s="29"/>
      <c r="B181" s="6"/>
      <c r="C181" s="6"/>
      <c r="D181" s="6"/>
      <c r="E181" s="6"/>
      <c r="F181" s="6"/>
      <c r="G181" s="6"/>
      <c r="H181" s="6"/>
      <c r="I181" s="18"/>
      <c r="J181" s="6"/>
      <c r="K181" s="6"/>
      <c r="L181" s="9"/>
      <c r="M181" s="6"/>
      <c r="N181" s="6"/>
      <c r="O181" s="9"/>
      <c r="P181" s="6"/>
      <c r="Q181" s="6"/>
      <c r="R181" s="18"/>
      <c r="S181" s="9"/>
    </row>
    <row r="182" spans="1:19" ht="14.25" customHeight="1">
      <c r="A182" s="29"/>
      <c r="B182" s="6"/>
      <c r="C182" s="6"/>
      <c r="D182" s="6"/>
      <c r="E182" s="6"/>
      <c r="F182" s="6"/>
      <c r="G182" s="6"/>
      <c r="H182" s="6"/>
      <c r="I182" s="18"/>
      <c r="J182" s="6"/>
      <c r="K182" s="6"/>
      <c r="L182" s="9"/>
      <c r="M182" s="6"/>
      <c r="N182" s="6"/>
      <c r="O182" s="9"/>
      <c r="P182" s="6"/>
      <c r="Q182" s="6"/>
      <c r="R182" s="18"/>
      <c r="S182" s="9"/>
    </row>
    <row r="183" spans="1:19" ht="14.25" customHeight="1">
      <c r="A183" s="29"/>
      <c r="B183" s="6"/>
      <c r="C183" s="6"/>
      <c r="D183" s="6"/>
      <c r="E183" s="6"/>
      <c r="F183" s="6"/>
      <c r="G183" s="6"/>
      <c r="H183" s="6"/>
      <c r="I183" s="18"/>
      <c r="J183" s="6"/>
      <c r="K183" s="6"/>
      <c r="L183" s="9"/>
      <c r="M183" s="6"/>
      <c r="N183" s="6"/>
      <c r="O183" s="9"/>
      <c r="P183" s="6"/>
      <c r="Q183" s="6"/>
      <c r="R183" s="18"/>
      <c r="S183" s="9"/>
    </row>
    <row r="184" spans="1:19" ht="14.25" customHeight="1">
      <c r="A184" s="29"/>
      <c r="B184" s="6"/>
      <c r="C184" s="6"/>
      <c r="D184" s="6"/>
      <c r="E184" s="6"/>
      <c r="F184" s="6"/>
      <c r="G184" s="6"/>
      <c r="H184" s="6"/>
      <c r="I184" s="18"/>
      <c r="J184" s="6"/>
      <c r="K184" s="6"/>
      <c r="L184" s="9"/>
      <c r="M184" s="6"/>
      <c r="N184" s="6"/>
      <c r="O184" s="9"/>
      <c r="P184" s="6"/>
      <c r="Q184" s="6"/>
      <c r="R184" s="18"/>
      <c r="S184" s="9"/>
    </row>
    <row r="185" spans="1:19" ht="14.25" customHeight="1">
      <c r="A185" s="29"/>
      <c r="B185" s="6"/>
      <c r="C185" s="6"/>
      <c r="D185" s="6"/>
      <c r="E185" s="6"/>
      <c r="F185" s="6"/>
      <c r="G185" s="6"/>
      <c r="H185" s="6"/>
      <c r="I185" s="18"/>
      <c r="J185" s="6"/>
      <c r="K185" s="6"/>
      <c r="L185" s="9"/>
      <c r="M185" s="6"/>
      <c r="N185" s="6"/>
      <c r="O185" s="9"/>
      <c r="P185" s="6"/>
      <c r="Q185" s="6"/>
      <c r="R185" s="18"/>
      <c r="S185" s="9"/>
    </row>
    <row r="186" spans="1:19" ht="14.25" customHeight="1">
      <c r="A186" s="29"/>
      <c r="B186" s="6"/>
      <c r="C186" s="6"/>
      <c r="D186" s="6"/>
      <c r="E186" s="6"/>
      <c r="F186" s="6"/>
      <c r="G186" s="6"/>
      <c r="H186" s="6"/>
      <c r="I186" s="18"/>
      <c r="J186" s="6"/>
      <c r="K186" s="6"/>
      <c r="L186" s="9"/>
      <c r="M186" s="6"/>
      <c r="N186" s="6"/>
      <c r="O186" s="9"/>
      <c r="P186" s="6"/>
      <c r="Q186" s="6"/>
      <c r="R186" s="18"/>
      <c r="S186" s="9"/>
    </row>
    <row r="187" spans="1:19" ht="14.25" customHeight="1">
      <c r="A187" s="29"/>
      <c r="B187" s="6"/>
      <c r="C187" s="6"/>
      <c r="D187" s="6"/>
      <c r="E187" s="6"/>
      <c r="F187" s="6"/>
      <c r="G187" s="6"/>
      <c r="H187" s="6"/>
      <c r="I187" s="18"/>
      <c r="J187" s="6"/>
      <c r="K187" s="6"/>
      <c r="L187" s="9"/>
      <c r="M187" s="6"/>
      <c r="N187" s="6"/>
      <c r="O187" s="9"/>
      <c r="P187" s="6"/>
      <c r="Q187" s="6"/>
      <c r="R187" s="18"/>
      <c r="S187" s="9"/>
    </row>
    <row r="188" spans="1:19" ht="14.25" customHeight="1">
      <c r="A188" s="29"/>
      <c r="B188" s="6"/>
      <c r="C188" s="6"/>
      <c r="D188" s="6"/>
      <c r="E188" s="6"/>
      <c r="F188" s="6"/>
      <c r="G188" s="6"/>
      <c r="H188" s="6"/>
      <c r="I188" s="18"/>
      <c r="J188" s="6"/>
      <c r="K188" s="6"/>
      <c r="L188" s="9"/>
      <c r="M188" s="6"/>
      <c r="N188" s="6"/>
      <c r="O188" s="9"/>
      <c r="P188" s="6"/>
      <c r="Q188" s="6"/>
      <c r="R188" s="18"/>
      <c r="S188" s="9"/>
    </row>
    <row r="189" spans="1:19" ht="14.25" customHeight="1">
      <c r="A189" s="29"/>
      <c r="B189" s="6"/>
      <c r="C189" s="6"/>
      <c r="D189" s="6"/>
      <c r="E189" s="6"/>
      <c r="F189" s="6"/>
      <c r="G189" s="6"/>
      <c r="H189" s="6"/>
      <c r="I189" s="18"/>
      <c r="J189" s="6"/>
      <c r="K189" s="6"/>
      <c r="L189" s="9"/>
      <c r="M189" s="6"/>
      <c r="N189" s="6"/>
      <c r="O189" s="9"/>
      <c r="P189" s="6"/>
      <c r="Q189" s="6"/>
      <c r="R189" s="18"/>
      <c r="S189" s="9"/>
    </row>
    <row r="190" spans="1:19" ht="14.25" customHeight="1">
      <c r="A190" s="29"/>
      <c r="B190" s="6"/>
      <c r="C190" s="6"/>
      <c r="D190" s="6"/>
      <c r="E190" s="6"/>
      <c r="F190" s="6"/>
      <c r="G190" s="6"/>
      <c r="H190" s="6"/>
      <c r="I190" s="18"/>
      <c r="J190" s="6"/>
      <c r="K190" s="6"/>
      <c r="L190" s="9"/>
      <c r="M190" s="6"/>
      <c r="N190" s="6"/>
      <c r="O190" s="9"/>
      <c r="P190" s="6"/>
      <c r="Q190" s="6"/>
      <c r="R190" s="18"/>
      <c r="S190" s="9"/>
    </row>
    <row r="191" spans="1:19" ht="14.25" customHeight="1">
      <c r="A191" s="29"/>
      <c r="B191" s="6"/>
      <c r="C191" s="6"/>
      <c r="D191" s="6"/>
      <c r="E191" s="6"/>
      <c r="F191" s="6"/>
      <c r="G191" s="6"/>
      <c r="H191" s="6"/>
      <c r="I191" s="18"/>
      <c r="J191" s="6"/>
      <c r="K191" s="6"/>
      <c r="L191" s="9"/>
      <c r="M191" s="6"/>
      <c r="N191" s="6"/>
      <c r="O191" s="9"/>
      <c r="P191" s="6"/>
      <c r="Q191" s="6"/>
      <c r="R191" s="18"/>
      <c r="S191" s="9"/>
    </row>
    <row r="192" spans="1:19" ht="14.25" customHeight="1">
      <c r="A192" s="29"/>
      <c r="B192" s="6"/>
      <c r="C192" s="6"/>
      <c r="D192" s="6"/>
      <c r="E192" s="6"/>
      <c r="F192" s="6"/>
      <c r="G192" s="6"/>
      <c r="H192" s="6"/>
      <c r="I192" s="18"/>
      <c r="J192" s="6"/>
      <c r="K192" s="6"/>
      <c r="L192" s="9"/>
      <c r="M192" s="6"/>
      <c r="N192" s="6"/>
      <c r="O192" s="9"/>
      <c r="P192" s="6"/>
      <c r="Q192" s="6"/>
      <c r="R192" s="18"/>
      <c r="S192" s="9"/>
    </row>
    <row r="193" spans="1:19" ht="14.25" customHeight="1">
      <c r="A193" s="29"/>
      <c r="B193" s="6"/>
      <c r="C193" s="6"/>
      <c r="D193" s="6"/>
      <c r="E193" s="6"/>
      <c r="F193" s="6"/>
      <c r="G193" s="6"/>
      <c r="H193" s="6"/>
      <c r="I193" s="18"/>
      <c r="J193" s="6"/>
      <c r="K193" s="6"/>
      <c r="L193" s="9"/>
      <c r="M193" s="6"/>
      <c r="N193" s="6"/>
      <c r="O193" s="9"/>
      <c r="P193" s="6"/>
      <c r="Q193" s="6"/>
      <c r="R193" s="18"/>
      <c r="S193" s="9"/>
    </row>
    <row r="194" spans="1:19" ht="14.25" customHeight="1">
      <c r="A194" s="29"/>
      <c r="B194" s="6"/>
      <c r="C194" s="6"/>
      <c r="D194" s="6"/>
      <c r="E194" s="6"/>
      <c r="F194" s="6"/>
      <c r="G194" s="6"/>
      <c r="H194" s="6"/>
      <c r="I194" s="18"/>
      <c r="J194" s="6"/>
      <c r="K194" s="6"/>
      <c r="L194" s="9"/>
      <c r="M194" s="6"/>
      <c r="N194" s="6"/>
      <c r="O194" s="9"/>
      <c r="P194" s="6"/>
      <c r="Q194" s="6"/>
      <c r="R194" s="18"/>
      <c r="S194" s="9"/>
    </row>
    <row r="195" spans="1:19" ht="14.25" customHeight="1">
      <c r="A195" s="29"/>
      <c r="B195" s="6"/>
      <c r="C195" s="6"/>
      <c r="D195" s="6"/>
      <c r="E195" s="6"/>
      <c r="F195" s="6"/>
      <c r="G195" s="6"/>
      <c r="H195" s="6"/>
      <c r="I195" s="18"/>
      <c r="J195" s="6"/>
      <c r="K195" s="6"/>
      <c r="L195" s="9"/>
      <c r="M195" s="6"/>
      <c r="N195" s="6"/>
      <c r="O195" s="9"/>
      <c r="P195" s="6"/>
      <c r="Q195" s="6"/>
      <c r="R195" s="18"/>
      <c r="S195" s="9"/>
    </row>
    <row r="196" spans="1:19" ht="14.25" customHeight="1">
      <c r="A196" s="29"/>
      <c r="B196" s="6"/>
      <c r="C196" s="6"/>
      <c r="D196" s="6"/>
      <c r="E196" s="6"/>
      <c r="F196" s="6"/>
      <c r="G196" s="6"/>
      <c r="H196" s="6"/>
      <c r="I196" s="18"/>
      <c r="J196" s="6"/>
      <c r="K196" s="6"/>
      <c r="L196" s="9"/>
      <c r="M196" s="6"/>
      <c r="N196" s="6"/>
      <c r="O196" s="9"/>
      <c r="P196" s="6"/>
      <c r="Q196" s="6"/>
      <c r="R196" s="18"/>
      <c r="S196" s="9"/>
    </row>
    <row r="197" spans="1:19" ht="14.25" customHeight="1">
      <c r="A197" s="29"/>
      <c r="B197" s="6"/>
      <c r="C197" s="6"/>
      <c r="D197" s="6"/>
      <c r="E197" s="6"/>
      <c r="F197" s="6"/>
      <c r="G197" s="6"/>
      <c r="H197" s="6"/>
      <c r="I197" s="18"/>
      <c r="J197" s="6"/>
      <c r="K197" s="6"/>
      <c r="L197" s="9"/>
      <c r="M197" s="6"/>
      <c r="N197" s="6"/>
      <c r="O197" s="9"/>
      <c r="P197" s="6"/>
      <c r="Q197" s="6"/>
      <c r="R197" s="18"/>
      <c r="S197" s="9"/>
    </row>
    <row r="198" spans="1:19" ht="14.25" customHeight="1">
      <c r="A198" s="29"/>
      <c r="B198" s="6"/>
      <c r="C198" s="6"/>
      <c r="D198" s="6"/>
      <c r="E198" s="6"/>
      <c r="F198" s="6"/>
      <c r="G198" s="6"/>
      <c r="H198" s="6"/>
      <c r="I198" s="18"/>
      <c r="J198" s="6"/>
      <c r="K198" s="6"/>
      <c r="L198" s="9"/>
      <c r="M198" s="6"/>
      <c r="N198" s="6"/>
      <c r="O198" s="9"/>
      <c r="P198" s="6"/>
      <c r="Q198" s="6"/>
      <c r="R198" s="18"/>
      <c r="S198" s="9"/>
    </row>
    <row r="199" spans="1:19" ht="14.25" customHeight="1">
      <c r="A199" s="29"/>
      <c r="B199" s="6"/>
      <c r="C199" s="6"/>
      <c r="D199" s="6"/>
      <c r="E199" s="6"/>
      <c r="F199" s="6"/>
      <c r="G199" s="6"/>
      <c r="H199" s="6"/>
      <c r="I199" s="18"/>
      <c r="J199" s="6"/>
      <c r="K199" s="6"/>
      <c r="L199" s="9"/>
      <c r="M199" s="6"/>
      <c r="N199" s="6"/>
      <c r="O199" s="9"/>
      <c r="P199" s="6"/>
      <c r="Q199" s="6"/>
      <c r="R199" s="18"/>
      <c r="S199" s="9"/>
    </row>
    <row r="200" spans="1:19" ht="14.25" customHeight="1">
      <c r="A200" s="29"/>
      <c r="B200" s="6"/>
      <c r="C200" s="6"/>
      <c r="D200" s="6"/>
      <c r="E200" s="6"/>
      <c r="F200" s="6"/>
      <c r="G200" s="6"/>
      <c r="H200" s="6"/>
      <c r="I200" s="18"/>
      <c r="J200" s="6"/>
      <c r="K200" s="6"/>
      <c r="L200" s="9"/>
      <c r="M200" s="6"/>
      <c r="N200" s="6"/>
      <c r="O200" s="9"/>
      <c r="P200" s="6"/>
      <c r="Q200" s="6"/>
      <c r="R200" s="18"/>
      <c r="S200" s="9"/>
    </row>
    <row r="201" spans="1:19" ht="14.25" customHeight="1">
      <c r="A201" s="29"/>
      <c r="B201" s="6"/>
      <c r="C201" s="6"/>
      <c r="D201" s="6"/>
      <c r="E201" s="6"/>
      <c r="F201" s="6"/>
      <c r="G201" s="6"/>
      <c r="H201" s="6"/>
      <c r="I201" s="18"/>
      <c r="J201" s="6"/>
      <c r="K201" s="6"/>
      <c r="L201" s="9"/>
      <c r="M201" s="6"/>
      <c r="N201" s="6"/>
      <c r="O201" s="9"/>
      <c r="P201" s="6"/>
      <c r="Q201" s="6"/>
      <c r="R201" s="18"/>
      <c r="S201" s="9"/>
    </row>
    <row r="202" spans="1:19" ht="14.25" customHeight="1">
      <c r="A202" s="29"/>
      <c r="B202" s="6"/>
      <c r="C202" s="6"/>
      <c r="D202" s="6"/>
      <c r="E202" s="6"/>
      <c r="F202" s="6"/>
      <c r="G202" s="6"/>
      <c r="H202" s="6"/>
      <c r="I202" s="18"/>
      <c r="J202" s="6"/>
      <c r="K202" s="6"/>
      <c r="L202" s="9"/>
      <c r="M202" s="6"/>
      <c r="N202" s="6"/>
      <c r="O202" s="9"/>
      <c r="P202" s="6"/>
      <c r="Q202" s="6"/>
      <c r="R202" s="18"/>
      <c r="S202" s="9"/>
    </row>
    <row r="203" spans="1:19" ht="14.25" customHeight="1">
      <c r="A203" s="29"/>
      <c r="B203" s="6"/>
      <c r="C203" s="6"/>
      <c r="D203" s="6"/>
      <c r="E203" s="6"/>
      <c r="F203" s="6"/>
      <c r="G203" s="6"/>
      <c r="H203" s="6"/>
      <c r="I203" s="18"/>
      <c r="J203" s="6"/>
      <c r="K203" s="6"/>
      <c r="L203" s="9"/>
      <c r="M203" s="6"/>
      <c r="N203" s="6"/>
      <c r="O203" s="9"/>
      <c r="P203" s="6"/>
      <c r="Q203" s="6"/>
      <c r="R203" s="18"/>
      <c r="S203" s="9"/>
    </row>
    <row r="204" spans="1:19" ht="14.25" customHeight="1">
      <c r="A204" s="29"/>
      <c r="B204" s="6"/>
      <c r="C204" s="6"/>
      <c r="D204" s="6"/>
      <c r="E204" s="6"/>
      <c r="F204" s="6"/>
      <c r="G204" s="6"/>
      <c r="H204" s="6"/>
      <c r="I204" s="18"/>
      <c r="J204" s="6"/>
      <c r="K204" s="6"/>
      <c r="L204" s="9"/>
      <c r="M204" s="6"/>
      <c r="N204" s="6"/>
      <c r="O204" s="9"/>
      <c r="P204" s="6"/>
      <c r="Q204" s="6"/>
      <c r="R204" s="18"/>
      <c r="S204" s="9"/>
    </row>
    <row r="205" spans="1:19" ht="14.25" customHeight="1">
      <c r="A205" s="29"/>
      <c r="B205" s="6"/>
      <c r="C205" s="6"/>
      <c r="D205" s="6"/>
      <c r="E205" s="6"/>
      <c r="F205" s="6"/>
      <c r="G205" s="6"/>
      <c r="H205" s="6"/>
      <c r="I205" s="18"/>
      <c r="J205" s="6"/>
      <c r="K205" s="6"/>
      <c r="L205" s="9"/>
      <c r="M205" s="6"/>
      <c r="N205" s="6"/>
      <c r="O205" s="9"/>
      <c r="P205" s="6"/>
      <c r="Q205" s="6"/>
      <c r="R205" s="18"/>
      <c r="S205" s="9"/>
    </row>
    <row r="206" spans="1:19" ht="14.25" customHeight="1">
      <c r="A206" s="29"/>
      <c r="B206" s="6"/>
      <c r="C206" s="6"/>
      <c r="D206" s="6"/>
      <c r="E206" s="6"/>
      <c r="F206" s="6"/>
      <c r="G206" s="6"/>
      <c r="H206" s="6"/>
      <c r="I206" s="18"/>
      <c r="J206" s="6"/>
      <c r="K206" s="6"/>
      <c r="L206" s="9"/>
      <c r="M206" s="6"/>
      <c r="N206" s="6"/>
      <c r="O206" s="9"/>
      <c r="P206" s="6"/>
      <c r="Q206" s="6"/>
      <c r="R206" s="18"/>
      <c r="S206" s="9"/>
    </row>
    <row r="207" spans="1:19" ht="14.25" customHeight="1">
      <c r="A207" s="29"/>
      <c r="B207" s="6"/>
      <c r="C207" s="6"/>
      <c r="D207" s="6"/>
      <c r="E207" s="6"/>
      <c r="F207" s="6"/>
      <c r="G207" s="6"/>
      <c r="H207" s="6"/>
      <c r="I207" s="18"/>
      <c r="J207" s="6"/>
      <c r="K207" s="6"/>
      <c r="L207" s="9"/>
      <c r="M207" s="6"/>
      <c r="N207" s="6"/>
      <c r="O207" s="9"/>
      <c r="P207" s="6"/>
      <c r="Q207" s="6"/>
      <c r="R207" s="18"/>
      <c r="S207" s="9"/>
    </row>
    <row r="208" spans="1:19" ht="14.25" customHeight="1">
      <c r="A208" s="29"/>
      <c r="B208" s="6"/>
      <c r="C208" s="6"/>
      <c r="D208" s="6"/>
      <c r="E208" s="6"/>
      <c r="F208" s="6"/>
      <c r="G208" s="6"/>
      <c r="H208" s="6"/>
      <c r="I208" s="18"/>
      <c r="J208" s="6"/>
      <c r="K208" s="6"/>
      <c r="L208" s="9"/>
      <c r="M208" s="6"/>
      <c r="N208" s="6"/>
      <c r="O208" s="9"/>
      <c r="P208" s="6"/>
      <c r="Q208" s="6"/>
      <c r="R208" s="18"/>
      <c r="S208" s="9"/>
    </row>
    <row r="209" spans="1:19" ht="14.25" customHeight="1">
      <c r="A209" s="29"/>
      <c r="B209" s="6"/>
      <c r="C209" s="6"/>
      <c r="D209" s="6"/>
      <c r="E209" s="6"/>
      <c r="F209" s="6"/>
      <c r="G209" s="6"/>
      <c r="H209" s="6"/>
      <c r="I209" s="18"/>
      <c r="J209" s="6"/>
      <c r="K209" s="6"/>
      <c r="L209" s="9"/>
      <c r="M209" s="6"/>
      <c r="N209" s="6"/>
      <c r="O209" s="9"/>
      <c r="P209" s="6"/>
      <c r="Q209" s="6"/>
      <c r="R209" s="18"/>
      <c r="S209" s="9"/>
    </row>
    <row r="210" spans="1:19" ht="14.25" customHeight="1">
      <c r="A210" s="29"/>
      <c r="B210" s="6"/>
      <c r="C210" s="6"/>
      <c r="D210" s="6"/>
      <c r="E210" s="6"/>
      <c r="F210" s="6"/>
      <c r="G210" s="6"/>
      <c r="H210" s="6"/>
      <c r="I210" s="18"/>
      <c r="J210" s="6"/>
      <c r="K210" s="6"/>
      <c r="L210" s="9"/>
      <c r="M210" s="6"/>
      <c r="N210" s="6"/>
      <c r="O210" s="9"/>
      <c r="P210" s="6"/>
      <c r="Q210" s="6"/>
      <c r="R210" s="18"/>
      <c r="S210" s="9"/>
    </row>
    <row r="211" spans="1:19" ht="14.25" customHeight="1">
      <c r="A211" s="29"/>
      <c r="B211" s="6"/>
      <c r="C211" s="6"/>
      <c r="D211" s="6"/>
      <c r="E211" s="6"/>
      <c r="F211" s="6"/>
      <c r="G211" s="6"/>
      <c r="H211" s="6"/>
      <c r="I211" s="18"/>
      <c r="J211" s="6"/>
      <c r="K211" s="6"/>
      <c r="L211" s="9"/>
      <c r="M211" s="6"/>
      <c r="N211" s="6"/>
      <c r="O211" s="9"/>
      <c r="P211" s="6"/>
      <c r="Q211" s="6"/>
      <c r="R211" s="18"/>
      <c r="S211" s="9"/>
    </row>
    <row r="212" spans="1:19" ht="14.25" customHeight="1">
      <c r="A212" s="29"/>
      <c r="B212" s="6"/>
      <c r="C212" s="6"/>
      <c r="D212" s="6"/>
      <c r="E212" s="6"/>
      <c r="F212" s="6"/>
      <c r="G212" s="6"/>
      <c r="H212" s="6"/>
      <c r="I212" s="18"/>
      <c r="J212" s="6"/>
      <c r="K212" s="6"/>
      <c r="L212" s="9"/>
      <c r="M212" s="6"/>
      <c r="N212" s="6"/>
      <c r="O212" s="9"/>
      <c r="P212" s="6"/>
      <c r="Q212" s="6"/>
      <c r="R212" s="18"/>
      <c r="S212" s="9"/>
    </row>
    <row r="213" spans="1:19" ht="14.25" customHeight="1">
      <c r="A213" s="29"/>
      <c r="B213" s="6"/>
      <c r="C213" s="6"/>
      <c r="D213" s="6"/>
      <c r="E213" s="6"/>
      <c r="F213" s="6"/>
      <c r="G213" s="6"/>
      <c r="H213" s="6"/>
      <c r="I213" s="18"/>
      <c r="J213" s="6"/>
      <c r="K213" s="6"/>
      <c r="L213" s="9"/>
      <c r="M213" s="6"/>
      <c r="N213" s="6"/>
      <c r="O213" s="9"/>
      <c r="P213" s="6"/>
      <c r="Q213" s="6"/>
      <c r="R213" s="18"/>
      <c r="S213" s="9"/>
    </row>
    <row r="214" spans="1:19" ht="14.25" customHeight="1">
      <c r="A214" s="29"/>
      <c r="B214" s="6"/>
      <c r="C214" s="6"/>
      <c r="D214" s="6"/>
      <c r="E214" s="6"/>
      <c r="F214" s="6"/>
      <c r="G214" s="6"/>
      <c r="H214" s="6"/>
      <c r="I214" s="18"/>
      <c r="J214" s="6"/>
      <c r="K214" s="6"/>
      <c r="L214" s="9"/>
      <c r="M214" s="6"/>
      <c r="N214" s="6"/>
      <c r="O214" s="9"/>
      <c r="P214" s="6"/>
      <c r="Q214" s="6"/>
      <c r="R214" s="18"/>
      <c r="S214" s="9"/>
    </row>
    <row r="215" spans="1:19" ht="14.25" customHeight="1">
      <c r="A215" s="29"/>
      <c r="B215" s="6"/>
      <c r="C215" s="6"/>
      <c r="D215" s="6"/>
      <c r="E215" s="6"/>
      <c r="F215" s="6"/>
      <c r="G215" s="6"/>
      <c r="H215" s="6"/>
      <c r="I215" s="18"/>
      <c r="J215" s="6"/>
      <c r="K215" s="6"/>
      <c r="L215" s="9"/>
      <c r="M215" s="6"/>
      <c r="N215" s="6"/>
      <c r="O215" s="9"/>
      <c r="P215" s="6"/>
      <c r="Q215" s="6"/>
      <c r="R215" s="18"/>
      <c r="S215" s="9"/>
    </row>
    <row r="216" spans="1:19" ht="14.25" customHeight="1">
      <c r="A216" s="29"/>
      <c r="B216" s="6"/>
      <c r="C216" s="6"/>
      <c r="D216" s="6"/>
      <c r="E216" s="6"/>
      <c r="F216" s="6"/>
      <c r="G216" s="6"/>
      <c r="H216" s="6"/>
      <c r="I216" s="18"/>
      <c r="J216" s="6"/>
      <c r="K216" s="6"/>
      <c r="L216" s="9"/>
      <c r="M216" s="6"/>
      <c r="N216" s="6"/>
      <c r="O216" s="9"/>
      <c r="P216" s="6"/>
      <c r="Q216" s="6"/>
      <c r="R216" s="18"/>
      <c r="S216" s="9"/>
    </row>
    <row r="217" spans="1:19" ht="14.25" customHeight="1">
      <c r="A217" s="29"/>
      <c r="B217" s="6"/>
      <c r="C217" s="6"/>
      <c r="D217" s="6"/>
      <c r="E217" s="6"/>
      <c r="F217" s="6"/>
      <c r="G217" s="6"/>
      <c r="H217" s="6"/>
      <c r="I217" s="18"/>
      <c r="J217" s="6"/>
      <c r="K217" s="6"/>
      <c r="L217" s="9"/>
      <c r="M217" s="6"/>
      <c r="N217" s="6"/>
      <c r="O217" s="9"/>
      <c r="P217" s="6"/>
      <c r="Q217" s="6"/>
      <c r="R217" s="18"/>
      <c r="S217" s="9"/>
    </row>
    <row r="218" spans="1:19" ht="14.25" customHeight="1">
      <c r="A218" s="29"/>
      <c r="B218" s="6"/>
      <c r="C218" s="6"/>
      <c r="D218" s="6"/>
      <c r="E218" s="6"/>
      <c r="F218" s="6"/>
      <c r="G218" s="6"/>
      <c r="H218" s="6"/>
      <c r="I218" s="18"/>
      <c r="J218" s="6"/>
      <c r="K218" s="6"/>
      <c r="L218" s="9"/>
      <c r="M218" s="6"/>
      <c r="N218" s="6"/>
      <c r="O218" s="9"/>
      <c r="P218" s="6"/>
      <c r="Q218" s="6"/>
      <c r="R218" s="18"/>
      <c r="S218" s="9"/>
    </row>
    <row r="219" spans="1:19" ht="14.25" customHeight="1">
      <c r="A219" s="29"/>
      <c r="B219" s="6"/>
      <c r="C219" s="6"/>
      <c r="D219" s="6"/>
      <c r="E219" s="6"/>
      <c r="F219" s="6"/>
      <c r="G219" s="6"/>
      <c r="H219" s="6"/>
      <c r="I219" s="18"/>
      <c r="J219" s="6"/>
      <c r="K219" s="6"/>
      <c r="L219" s="9"/>
      <c r="M219" s="6"/>
      <c r="N219" s="6"/>
      <c r="O219" s="9"/>
      <c r="P219" s="6"/>
      <c r="Q219" s="6"/>
      <c r="R219" s="18"/>
      <c r="S219" s="9"/>
    </row>
    <row r="220" spans="1:19" ht="14.25" customHeight="1">
      <c r="A220" s="29"/>
      <c r="B220" s="6"/>
      <c r="C220" s="6"/>
      <c r="D220" s="6"/>
      <c r="E220" s="6"/>
      <c r="F220" s="6"/>
      <c r="G220" s="6"/>
      <c r="H220" s="6"/>
      <c r="I220" s="18"/>
      <c r="J220" s="6"/>
      <c r="K220" s="6"/>
      <c r="L220" s="9"/>
      <c r="M220" s="6"/>
      <c r="N220" s="6"/>
      <c r="O220" s="9"/>
      <c r="P220" s="6"/>
      <c r="Q220" s="6"/>
      <c r="R220" s="18"/>
      <c r="S220" s="9"/>
    </row>
    <row r="221" spans="1:19" ht="14.25" customHeight="1">
      <c r="A221" s="29"/>
      <c r="B221" s="6"/>
      <c r="C221" s="6"/>
      <c r="D221" s="6"/>
      <c r="E221" s="6"/>
      <c r="F221" s="6"/>
      <c r="G221" s="6"/>
      <c r="H221" s="6"/>
      <c r="I221" s="18"/>
      <c r="J221" s="6"/>
      <c r="K221" s="6"/>
      <c r="L221" s="9"/>
      <c r="M221" s="6"/>
      <c r="N221" s="6"/>
      <c r="O221" s="9"/>
      <c r="P221" s="6"/>
      <c r="Q221" s="6"/>
      <c r="R221" s="18"/>
      <c r="S221" s="9"/>
    </row>
    <row r="222" spans="1:19" ht="14.25" customHeight="1">
      <c r="A222" s="29"/>
      <c r="B222" s="6"/>
      <c r="C222" s="6"/>
      <c r="D222" s="6"/>
      <c r="E222" s="6"/>
      <c r="F222" s="6"/>
      <c r="G222" s="6"/>
      <c r="H222" s="6"/>
      <c r="I222" s="18"/>
      <c r="J222" s="6"/>
      <c r="K222" s="6"/>
      <c r="L222" s="9"/>
      <c r="M222" s="6"/>
      <c r="N222" s="6"/>
      <c r="O222" s="9"/>
      <c r="P222" s="6"/>
      <c r="Q222" s="6"/>
      <c r="R222" s="18"/>
      <c r="S222" s="9"/>
    </row>
    <row r="223" spans="1:19" ht="14.25" customHeight="1">
      <c r="A223" s="29"/>
      <c r="B223" s="6"/>
      <c r="C223" s="6"/>
      <c r="D223" s="6"/>
      <c r="E223" s="6"/>
      <c r="F223" s="6"/>
      <c r="G223" s="6"/>
      <c r="H223" s="6"/>
      <c r="I223" s="18"/>
      <c r="J223" s="6"/>
      <c r="K223" s="6"/>
      <c r="L223" s="9"/>
      <c r="M223" s="6"/>
      <c r="N223" s="6"/>
      <c r="O223" s="9"/>
      <c r="P223" s="6"/>
      <c r="Q223" s="6"/>
      <c r="R223" s="18"/>
      <c r="S223" s="9"/>
    </row>
    <row r="224" spans="1:19" ht="14.25" customHeight="1">
      <c r="A224" s="29"/>
      <c r="B224" s="6"/>
      <c r="C224" s="6"/>
      <c r="D224" s="6"/>
      <c r="E224" s="6"/>
      <c r="F224" s="6"/>
      <c r="G224" s="6"/>
      <c r="H224" s="6"/>
      <c r="I224" s="18"/>
      <c r="J224" s="6"/>
      <c r="K224" s="6"/>
      <c r="L224" s="9"/>
      <c r="M224" s="6"/>
      <c r="N224" s="6"/>
      <c r="O224" s="9"/>
      <c r="P224" s="6"/>
      <c r="Q224" s="6"/>
      <c r="R224" s="18"/>
      <c r="S224" s="9"/>
    </row>
    <row r="225" spans="1:19" ht="14.25" customHeight="1">
      <c r="A225" s="29"/>
      <c r="B225" s="6"/>
      <c r="C225" s="6"/>
      <c r="D225" s="6"/>
      <c r="E225" s="6"/>
      <c r="F225" s="6"/>
      <c r="G225" s="6"/>
      <c r="H225" s="6"/>
      <c r="I225" s="18"/>
      <c r="J225" s="6"/>
      <c r="K225" s="6"/>
      <c r="L225" s="9"/>
      <c r="M225" s="6"/>
      <c r="N225" s="6"/>
      <c r="O225" s="9"/>
      <c r="P225" s="6"/>
      <c r="Q225" s="6"/>
      <c r="R225" s="18"/>
      <c r="S225" s="9"/>
    </row>
    <row r="226" spans="1:19" ht="14.25" customHeight="1">
      <c r="A226" s="29"/>
      <c r="B226" s="6"/>
      <c r="C226" s="6"/>
      <c r="D226" s="6"/>
      <c r="E226" s="6"/>
      <c r="F226" s="6"/>
      <c r="G226" s="6"/>
      <c r="H226" s="6"/>
      <c r="I226" s="18"/>
      <c r="J226" s="6"/>
      <c r="K226" s="6"/>
      <c r="L226" s="9"/>
      <c r="M226" s="6"/>
      <c r="N226" s="6"/>
      <c r="O226" s="9"/>
      <c r="P226" s="6"/>
      <c r="Q226" s="6"/>
      <c r="R226" s="18"/>
      <c r="S226" s="9"/>
    </row>
    <row r="227" spans="1:19" ht="14.25" customHeight="1">
      <c r="A227" s="29"/>
      <c r="B227" s="6"/>
      <c r="C227" s="6"/>
      <c r="D227" s="6"/>
      <c r="E227" s="6"/>
      <c r="F227" s="6"/>
      <c r="G227" s="6"/>
      <c r="H227" s="6"/>
      <c r="I227" s="18"/>
      <c r="J227" s="6"/>
      <c r="K227" s="6"/>
      <c r="L227" s="9"/>
      <c r="M227" s="6"/>
      <c r="N227" s="6"/>
      <c r="O227" s="9"/>
      <c r="P227" s="6"/>
      <c r="Q227" s="6"/>
      <c r="R227" s="18"/>
      <c r="S227" s="9"/>
    </row>
    <row r="228" spans="1:19" ht="14.25" customHeight="1">
      <c r="A228" s="29"/>
      <c r="B228" s="6"/>
      <c r="C228" s="6"/>
      <c r="D228" s="6"/>
      <c r="E228" s="6"/>
      <c r="F228" s="6"/>
      <c r="G228" s="6"/>
      <c r="H228" s="6"/>
      <c r="I228" s="18"/>
      <c r="J228" s="6"/>
      <c r="K228" s="6"/>
      <c r="L228" s="9"/>
      <c r="M228" s="6"/>
      <c r="N228" s="6"/>
      <c r="O228" s="9"/>
      <c r="P228" s="6"/>
      <c r="Q228" s="6"/>
      <c r="R228" s="18"/>
      <c r="S228" s="9"/>
    </row>
    <row r="229" spans="1:19" ht="14.25" customHeight="1">
      <c r="A229" s="29"/>
      <c r="B229" s="6"/>
      <c r="C229" s="6"/>
      <c r="D229" s="6"/>
      <c r="E229" s="6"/>
      <c r="F229" s="6"/>
      <c r="G229" s="6"/>
      <c r="H229" s="6"/>
      <c r="I229" s="18"/>
      <c r="J229" s="6"/>
      <c r="K229" s="6"/>
      <c r="L229" s="9"/>
      <c r="M229" s="6"/>
      <c r="N229" s="6"/>
      <c r="O229" s="9"/>
      <c r="P229" s="6"/>
      <c r="Q229" s="6"/>
      <c r="R229" s="18"/>
      <c r="S229" s="9"/>
    </row>
    <row r="230" spans="1:19" ht="14.25" customHeight="1">
      <c r="A230" s="29"/>
      <c r="B230" s="6"/>
      <c r="C230" s="6"/>
      <c r="D230" s="6"/>
      <c r="E230" s="6"/>
      <c r="F230" s="6"/>
      <c r="G230" s="6"/>
      <c r="H230" s="6"/>
      <c r="I230" s="18"/>
      <c r="J230" s="6"/>
      <c r="K230" s="6"/>
      <c r="L230" s="9"/>
      <c r="M230" s="6"/>
      <c r="N230" s="6"/>
      <c r="O230" s="9"/>
      <c r="P230" s="6"/>
      <c r="Q230" s="6"/>
      <c r="R230" s="18"/>
      <c r="S230" s="9"/>
    </row>
    <row r="231" spans="1:19" ht="14.25" customHeight="1">
      <c r="A231" s="29"/>
      <c r="B231" s="6"/>
      <c r="C231" s="6"/>
      <c r="D231" s="6"/>
      <c r="E231" s="6"/>
      <c r="F231" s="6"/>
      <c r="G231" s="6"/>
      <c r="H231" s="6"/>
      <c r="I231" s="18"/>
      <c r="J231" s="6"/>
      <c r="K231" s="6"/>
      <c r="L231" s="9"/>
      <c r="M231" s="6"/>
      <c r="N231" s="6"/>
      <c r="O231" s="9"/>
      <c r="P231" s="6"/>
      <c r="Q231" s="6"/>
      <c r="R231" s="18"/>
      <c r="S231" s="9"/>
    </row>
    <row r="232" spans="1:19" ht="14.25" customHeight="1">
      <c r="A232" s="29"/>
      <c r="B232" s="6"/>
      <c r="C232" s="6"/>
      <c r="D232" s="6"/>
      <c r="E232" s="6"/>
      <c r="F232" s="6"/>
      <c r="G232" s="6"/>
      <c r="H232" s="6"/>
      <c r="I232" s="18"/>
      <c r="J232" s="6"/>
      <c r="K232" s="6"/>
      <c r="L232" s="9"/>
      <c r="M232" s="6"/>
      <c r="N232" s="6"/>
      <c r="O232" s="9"/>
      <c r="P232" s="6"/>
      <c r="Q232" s="6"/>
      <c r="R232" s="18"/>
      <c r="S232" s="9"/>
    </row>
    <row r="233" spans="1:19" ht="14.25" customHeight="1">
      <c r="A233" s="29"/>
      <c r="B233" s="6"/>
      <c r="C233" s="6"/>
      <c r="D233" s="6"/>
      <c r="E233" s="6"/>
      <c r="F233" s="6"/>
      <c r="G233" s="6"/>
      <c r="H233" s="6"/>
      <c r="I233" s="18"/>
      <c r="J233" s="6"/>
      <c r="K233" s="6"/>
      <c r="L233" s="9"/>
      <c r="M233" s="6"/>
      <c r="N233" s="6"/>
      <c r="O233" s="9"/>
      <c r="P233" s="6"/>
      <c r="Q233" s="6"/>
      <c r="R233" s="18"/>
      <c r="S233" s="9"/>
    </row>
    <row r="234" spans="1:19" ht="14.25" customHeight="1">
      <c r="A234" s="29"/>
      <c r="B234" s="6"/>
      <c r="C234" s="6"/>
      <c r="D234" s="6"/>
      <c r="E234" s="6"/>
      <c r="F234" s="6"/>
      <c r="G234" s="6"/>
      <c r="H234" s="6"/>
      <c r="I234" s="18"/>
      <c r="J234" s="6"/>
      <c r="K234" s="6"/>
      <c r="L234" s="9"/>
      <c r="M234" s="6"/>
      <c r="N234" s="6"/>
      <c r="O234" s="9"/>
      <c r="P234" s="6"/>
      <c r="Q234" s="6"/>
      <c r="R234" s="18"/>
      <c r="S234" s="9"/>
    </row>
    <row r="235" spans="1:19" ht="14.25" customHeight="1">
      <c r="A235" s="29"/>
      <c r="B235" s="6"/>
      <c r="C235" s="6"/>
      <c r="D235" s="6"/>
      <c r="E235" s="6"/>
      <c r="F235" s="6"/>
      <c r="G235" s="6"/>
      <c r="H235" s="6"/>
      <c r="I235" s="18"/>
      <c r="J235" s="6"/>
      <c r="K235" s="6"/>
      <c r="L235" s="9"/>
      <c r="M235" s="6"/>
      <c r="N235" s="6"/>
      <c r="O235" s="9"/>
      <c r="P235" s="6"/>
      <c r="Q235" s="6"/>
      <c r="R235" s="18"/>
      <c r="S235" s="9"/>
    </row>
    <row r="236" spans="1:19" ht="14.25" customHeight="1">
      <c r="A236" s="29"/>
      <c r="B236" s="6"/>
      <c r="C236" s="6"/>
      <c r="D236" s="6"/>
      <c r="E236" s="6"/>
      <c r="F236" s="6"/>
      <c r="G236" s="6"/>
      <c r="H236" s="6"/>
      <c r="I236" s="18"/>
      <c r="J236" s="6"/>
      <c r="K236" s="6"/>
      <c r="L236" s="9"/>
      <c r="M236" s="6"/>
      <c r="N236" s="6"/>
      <c r="O236" s="9"/>
      <c r="P236" s="6"/>
      <c r="Q236" s="6"/>
      <c r="R236" s="18"/>
      <c r="S236" s="9"/>
    </row>
    <row r="237" spans="1:19" ht="14.25" customHeight="1">
      <c r="A237" s="29"/>
      <c r="B237" s="6"/>
      <c r="C237" s="6"/>
      <c r="D237" s="6"/>
      <c r="E237" s="6"/>
      <c r="F237" s="6"/>
      <c r="G237" s="6"/>
      <c r="H237" s="6"/>
      <c r="I237" s="18"/>
      <c r="J237" s="6"/>
      <c r="K237" s="6"/>
      <c r="L237" s="9"/>
      <c r="M237" s="6"/>
      <c r="N237" s="6"/>
      <c r="O237" s="9"/>
      <c r="P237" s="6"/>
      <c r="Q237" s="6"/>
      <c r="R237" s="18"/>
      <c r="S237" s="9"/>
    </row>
    <row r="238" spans="1:19" ht="14.25" customHeight="1">
      <c r="A238" s="29"/>
      <c r="B238" s="6"/>
      <c r="C238" s="6"/>
      <c r="D238" s="6"/>
      <c r="E238" s="6"/>
      <c r="F238" s="6"/>
      <c r="G238" s="6"/>
      <c r="H238" s="6"/>
      <c r="I238" s="18"/>
      <c r="J238" s="6"/>
      <c r="K238" s="6"/>
      <c r="L238" s="9"/>
      <c r="M238" s="6"/>
      <c r="N238" s="6"/>
      <c r="O238" s="9"/>
      <c r="P238" s="6"/>
      <c r="Q238" s="6"/>
      <c r="R238" s="18"/>
      <c r="S238" s="9"/>
    </row>
    <row r="239" spans="1:19" ht="14.25" customHeight="1">
      <c r="A239" s="29"/>
      <c r="B239" s="6"/>
      <c r="C239" s="6"/>
      <c r="D239" s="6"/>
      <c r="E239" s="6"/>
      <c r="F239" s="6"/>
      <c r="G239" s="6"/>
      <c r="H239" s="6"/>
      <c r="I239" s="18"/>
      <c r="J239" s="6"/>
      <c r="K239" s="6"/>
      <c r="L239" s="9"/>
      <c r="M239" s="6"/>
      <c r="N239" s="6"/>
      <c r="O239" s="9"/>
      <c r="P239" s="6"/>
      <c r="Q239" s="6"/>
      <c r="R239" s="18"/>
      <c r="S239" s="9"/>
    </row>
    <row r="240" spans="1:19" ht="14.25" customHeight="1">
      <c r="A240" s="29"/>
      <c r="B240" s="6"/>
      <c r="C240" s="6"/>
      <c r="D240" s="6"/>
      <c r="E240" s="6"/>
      <c r="F240" s="6"/>
      <c r="G240" s="6"/>
      <c r="H240" s="6"/>
      <c r="I240" s="18"/>
      <c r="J240" s="6"/>
      <c r="K240" s="6"/>
      <c r="L240" s="9"/>
      <c r="M240" s="6"/>
      <c r="N240" s="6"/>
      <c r="O240" s="9"/>
      <c r="P240" s="6"/>
      <c r="Q240" s="6"/>
      <c r="R240" s="18"/>
      <c r="S240" s="9"/>
    </row>
    <row r="241" spans="1:19" ht="14.25" customHeight="1">
      <c r="A241" s="29"/>
      <c r="B241" s="6"/>
      <c r="C241" s="6"/>
      <c r="D241" s="6"/>
      <c r="E241" s="6"/>
      <c r="F241" s="6"/>
      <c r="G241" s="6"/>
      <c r="H241" s="6"/>
      <c r="I241" s="18"/>
      <c r="J241" s="6"/>
      <c r="K241" s="6"/>
      <c r="L241" s="9"/>
      <c r="M241" s="6"/>
      <c r="N241" s="6"/>
      <c r="O241" s="9"/>
      <c r="P241" s="6"/>
      <c r="Q241" s="6"/>
      <c r="R241" s="18"/>
      <c r="S241" s="9"/>
    </row>
    <row r="242" spans="1:19" ht="14.25" customHeight="1">
      <c r="A242" s="29"/>
      <c r="B242" s="6"/>
      <c r="C242" s="6"/>
      <c r="D242" s="6"/>
      <c r="E242" s="6"/>
      <c r="F242" s="6"/>
      <c r="G242" s="6"/>
      <c r="H242" s="6"/>
      <c r="I242" s="18"/>
      <c r="J242" s="6"/>
      <c r="K242" s="6"/>
      <c r="L242" s="9"/>
      <c r="M242" s="6"/>
      <c r="N242" s="6"/>
      <c r="O242" s="9"/>
      <c r="P242" s="6"/>
      <c r="Q242" s="6"/>
      <c r="R242" s="18"/>
      <c r="S242" s="9"/>
    </row>
    <row r="243" spans="1:19" ht="14.25" customHeight="1">
      <c r="A243" s="29"/>
      <c r="B243" s="6"/>
      <c r="C243" s="6"/>
      <c r="D243" s="6"/>
      <c r="E243" s="6"/>
      <c r="F243" s="6"/>
      <c r="G243" s="6"/>
      <c r="H243" s="6"/>
      <c r="I243" s="18"/>
      <c r="J243" s="6"/>
      <c r="K243" s="6"/>
      <c r="L243" s="9"/>
      <c r="M243" s="6"/>
      <c r="N243" s="6"/>
      <c r="O243" s="9"/>
      <c r="P243" s="6"/>
      <c r="Q243" s="6"/>
      <c r="R243" s="18"/>
      <c r="S243" s="9"/>
    </row>
    <row r="244" spans="1:19" ht="14.25" customHeight="1">
      <c r="A244" s="29"/>
      <c r="B244" s="6"/>
      <c r="C244" s="6"/>
      <c r="D244" s="6"/>
      <c r="E244" s="6"/>
      <c r="F244" s="6"/>
      <c r="G244" s="6"/>
      <c r="H244" s="6"/>
      <c r="I244" s="18"/>
      <c r="J244" s="6"/>
      <c r="K244" s="6"/>
      <c r="L244" s="9"/>
      <c r="M244" s="6"/>
      <c r="N244" s="6"/>
      <c r="O244" s="9"/>
      <c r="P244" s="6"/>
      <c r="Q244" s="6"/>
      <c r="R244" s="18"/>
      <c r="S244" s="9"/>
    </row>
    <row r="245" spans="1:19" ht="14.25" customHeight="1">
      <c r="A245" s="29"/>
      <c r="B245" s="6"/>
      <c r="C245" s="6"/>
      <c r="D245" s="6"/>
      <c r="E245" s="6"/>
      <c r="F245" s="6"/>
      <c r="G245" s="6"/>
      <c r="H245" s="6"/>
      <c r="I245" s="18"/>
      <c r="J245" s="6"/>
      <c r="K245" s="6"/>
      <c r="L245" s="9"/>
      <c r="M245" s="6"/>
      <c r="N245" s="6"/>
      <c r="O245" s="9"/>
      <c r="P245" s="6"/>
      <c r="Q245" s="6"/>
      <c r="R245" s="18"/>
      <c r="S245" s="9"/>
    </row>
    <row r="246" spans="1:19" ht="14.25" customHeight="1">
      <c r="A246" s="29"/>
      <c r="B246" s="6"/>
      <c r="C246" s="6"/>
      <c r="D246" s="6"/>
      <c r="E246" s="6"/>
      <c r="F246" s="6"/>
      <c r="G246" s="6"/>
      <c r="H246" s="6"/>
      <c r="I246" s="18"/>
      <c r="J246" s="6"/>
      <c r="K246" s="6"/>
      <c r="L246" s="9"/>
      <c r="M246" s="6"/>
      <c r="N246" s="6"/>
      <c r="O246" s="9"/>
      <c r="P246" s="6"/>
      <c r="Q246" s="6"/>
      <c r="R246" s="18"/>
      <c r="S246" s="9"/>
    </row>
    <row r="247" spans="1:19" ht="14.25" customHeight="1">
      <c r="A247" s="29"/>
      <c r="B247" s="6"/>
      <c r="C247" s="6"/>
      <c r="D247" s="6"/>
      <c r="E247" s="6"/>
      <c r="F247" s="6"/>
      <c r="G247" s="6"/>
      <c r="H247" s="6"/>
      <c r="I247" s="18"/>
      <c r="J247" s="6"/>
      <c r="K247" s="6"/>
      <c r="L247" s="9"/>
      <c r="M247" s="6"/>
      <c r="N247" s="6"/>
      <c r="O247" s="9"/>
      <c r="P247" s="6"/>
      <c r="Q247" s="6"/>
      <c r="R247" s="18"/>
      <c r="S247" s="9"/>
    </row>
    <row r="248" spans="1:19" ht="14.25" customHeight="1">
      <c r="A248" s="29"/>
      <c r="B248" s="6"/>
      <c r="C248" s="6"/>
      <c r="D248" s="6"/>
      <c r="E248" s="6"/>
      <c r="F248" s="6"/>
      <c r="G248" s="6"/>
      <c r="H248" s="6"/>
      <c r="I248" s="18"/>
      <c r="J248" s="6"/>
      <c r="K248" s="6"/>
      <c r="L248" s="9"/>
      <c r="M248" s="6"/>
      <c r="N248" s="6"/>
      <c r="O248" s="9"/>
      <c r="P248" s="6"/>
      <c r="Q248" s="6"/>
      <c r="R248" s="18"/>
      <c r="S248" s="9"/>
    </row>
    <row r="249" spans="1:19" ht="14.25" customHeight="1">
      <c r="A249" s="29"/>
      <c r="B249" s="6"/>
      <c r="C249" s="6"/>
      <c r="D249" s="6"/>
      <c r="E249" s="6"/>
      <c r="F249" s="6"/>
      <c r="G249" s="6"/>
      <c r="H249" s="6"/>
      <c r="I249" s="18"/>
      <c r="J249" s="6"/>
      <c r="K249" s="6"/>
      <c r="L249" s="9"/>
      <c r="M249" s="6"/>
      <c r="N249" s="6"/>
      <c r="O249" s="9"/>
      <c r="P249" s="6"/>
      <c r="Q249" s="6"/>
      <c r="R249" s="18"/>
      <c r="S249" s="9"/>
    </row>
    <row r="250" spans="1:19" ht="14.25" customHeight="1">
      <c r="A250" s="29"/>
      <c r="B250" s="6"/>
      <c r="C250" s="6"/>
      <c r="D250" s="6"/>
      <c r="E250" s="6"/>
      <c r="F250" s="6"/>
      <c r="G250" s="6"/>
      <c r="H250" s="6"/>
      <c r="I250" s="18"/>
      <c r="J250" s="6"/>
      <c r="K250" s="6"/>
      <c r="L250" s="9"/>
      <c r="M250" s="6"/>
      <c r="N250" s="6"/>
      <c r="O250" s="9"/>
      <c r="P250" s="6"/>
      <c r="Q250" s="6"/>
      <c r="R250" s="18"/>
      <c r="S250" s="9"/>
    </row>
    <row r="251" spans="1:19" ht="14.25" customHeight="1">
      <c r="A251" s="29"/>
      <c r="B251" s="6"/>
      <c r="C251" s="6"/>
      <c r="D251" s="6"/>
      <c r="E251" s="6"/>
      <c r="F251" s="6"/>
      <c r="G251" s="6"/>
      <c r="H251" s="6"/>
      <c r="I251" s="18"/>
      <c r="J251" s="6"/>
      <c r="K251" s="6"/>
      <c r="L251" s="9"/>
      <c r="M251" s="6"/>
      <c r="N251" s="6"/>
      <c r="O251" s="9"/>
      <c r="P251" s="6"/>
      <c r="Q251" s="6"/>
      <c r="R251" s="18"/>
      <c r="S251" s="9"/>
    </row>
    <row r="252" spans="1:19" ht="14.25" customHeight="1">
      <c r="A252" s="29"/>
      <c r="B252" s="6"/>
      <c r="C252" s="6"/>
      <c r="D252" s="6"/>
      <c r="E252" s="6"/>
      <c r="F252" s="6"/>
      <c r="G252" s="6"/>
      <c r="H252" s="6"/>
      <c r="I252" s="18"/>
      <c r="J252" s="6"/>
      <c r="K252" s="6"/>
      <c r="L252" s="9"/>
      <c r="M252" s="6"/>
      <c r="N252" s="6"/>
      <c r="O252" s="9"/>
      <c r="P252" s="6"/>
      <c r="Q252" s="6"/>
      <c r="R252" s="18"/>
      <c r="S252" s="9"/>
    </row>
    <row r="253" spans="1:19" ht="14.25" customHeight="1">
      <c r="A253" s="29"/>
      <c r="B253" s="6"/>
      <c r="C253" s="6"/>
      <c r="D253" s="6"/>
      <c r="E253" s="6"/>
      <c r="F253" s="6"/>
      <c r="G253" s="6"/>
      <c r="H253" s="6"/>
      <c r="I253" s="18"/>
      <c r="J253" s="6"/>
      <c r="K253" s="6"/>
      <c r="L253" s="9"/>
      <c r="M253" s="6"/>
      <c r="N253" s="6"/>
      <c r="O253" s="9"/>
      <c r="P253" s="6"/>
      <c r="Q253" s="6"/>
      <c r="R253" s="18"/>
      <c r="S253" s="9"/>
    </row>
    <row r="254" spans="1:19" ht="14.25" customHeight="1">
      <c r="A254" s="29"/>
      <c r="B254" s="6"/>
      <c r="C254" s="6"/>
      <c r="D254" s="6"/>
      <c r="E254" s="6"/>
      <c r="F254" s="6"/>
      <c r="G254" s="6"/>
      <c r="H254" s="6"/>
      <c r="I254" s="18"/>
      <c r="J254" s="6"/>
      <c r="K254" s="6"/>
      <c r="L254" s="9"/>
      <c r="M254" s="6"/>
      <c r="N254" s="6"/>
      <c r="O254" s="9"/>
      <c r="P254" s="6"/>
      <c r="Q254" s="6"/>
      <c r="R254" s="18"/>
      <c r="S254" s="9"/>
    </row>
    <row r="255" spans="1:19" ht="14.25" customHeight="1">
      <c r="A255" s="29"/>
      <c r="B255" s="6"/>
      <c r="C255" s="6"/>
      <c r="D255" s="6"/>
      <c r="E255" s="6"/>
      <c r="F255" s="6"/>
      <c r="G255" s="6"/>
      <c r="H255" s="6"/>
      <c r="I255" s="18"/>
      <c r="J255" s="6"/>
      <c r="K255" s="6"/>
      <c r="L255" s="9"/>
      <c r="M255" s="6"/>
      <c r="N255" s="6"/>
      <c r="O255" s="9"/>
      <c r="P255" s="6"/>
      <c r="Q255" s="6"/>
      <c r="R255" s="18"/>
      <c r="S255" s="9"/>
    </row>
    <row r="256" spans="1:19" ht="14.25" customHeight="1">
      <c r="A256" s="29"/>
      <c r="B256" s="6"/>
      <c r="C256" s="6"/>
      <c r="D256" s="6"/>
      <c r="E256" s="6"/>
      <c r="F256" s="6"/>
      <c r="G256" s="6"/>
      <c r="H256" s="6"/>
      <c r="I256" s="18"/>
      <c r="J256" s="6"/>
      <c r="K256" s="6"/>
      <c r="L256" s="9"/>
      <c r="M256" s="6"/>
      <c r="N256" s="6"/>
      <c r="O256" s="9"/>
      <c r="P256" s="6"/>
      <c r="Q256" s="6"/>
      <c r="R256" s="18"/>
      <c r="S256" s="9"/>
    </row>
    <row r="257" spans="1:19" ht="14.25" customHeight="1">
      <c r="A257" s="29"/>
      <c r="B257" s="6"/>
      <c r="C257" s="6"/>
      <c r="D257" s="6"/>
      <c r="E257" s="6"/>
      <c r="F257" s="6"/>
      <c r="G257" s="6"/>
      <c r="H257" s="6"/>
      <c r="I257" s="18"/>
      <c r="J257" s="6"/>
      <c r="K257" s="6"/>
      <c r="L257" s="9"/>
      <c r="M257" s="6"/>
      <c r="N257" s="6"/>
      <c r="O257" s="9"/>
      <c r="P257" s="6"/>
      <c r="Q257" s="6"/>
      <c r="R257" s="18"/>
      <c r="S257" s="9"/>
    </row>
    <row r="258" spans="1:19" ht="14.25" customHeight="1">
      <c r="A258" s="29"/>
      <c r="B258" s="6"/>
      <c r="C258" s="6"/>
      <c r="D258" s="6"/>
      <c r="E258" s="6"/>
      <c r="F258" s="6"/>
      <c r="G258" s="6"/>
      <c r="H258" s="6"/>
      <c r="I258" s="18"/>
      <c r="J258" s="6"/>
      <c r="K258" s="6"/>
      <c r="L258" s="9"/>
      <c r="M258" s="6"/>
      <c r="N258" s="6"/>
      <c r="O258" s="9"/>
      <c r="P258" s="6"/>
      <c r="Q258" s="6"/>
      <c r="R258" s="18"/>
      <c r="S258" s="9"/>
    </row>
    <row r="259" spans="1:19" ht="14.25" customHeight="1">
      <c r="A259" s="29"/>
      <c r="B259" s="6"/>
      <c r="C259" s="6"/>
      <c r="D259" s="6"/>
      <c r="E259" s="6"/>
      <c r="F259" s="6"/>
      <c r="G259" s="6"/>
      <c r="H259" s="6"/>
      <c r="I259" s="18"/>
      <c r="J259" s="6"/>
      <c r="K259" s="6"/>
      <c r="L259" s="9"/>
      <c r="M259" s="6"/>
      <c r="N259" s="6"/>
      <c r="O259" s="9"/>
      <c r="P259" s="6"/>
      <c r="Q259" s="6"/>
      <c r="R259" s="18"/>
      <c r="S259" s="9"/>
    </row>
    <row r="260" spans="1:19" ht="14.25" customHeight="1">
      <c r="A260" s="29"/>
      <c r="B260" s="6"/>
      <c r="C260" s="6"/>
      <c r="D260" s="6"/>
      <c r="E260" s="6"/>
      <c r="F260" s="6"/>
      <c r="G260" s="6"/>
      <c r="H260" s="6"/>
      <c r="I260" s="18"/>
      <c r="J260" s="6"/>
      <c r="K260" s="6"/>
      <c r="L260" s="9"/>
      <c r="M260" s="6"/>
      <c r="N260" s="6"/>
      <c r="O260" s="9"/>
      <c r="P260" s="6"/>
      <c r="Q260" s="6"/>
      <c r="R260" s="18"/>
      <c r="S260" s="9"/>
    </row>
    <row r="261" spans="1:19" ht="14.25" customHeight="1">
      <c r="A261" s="29"/>
      <c r="B261" s="6"/>
      <c r="C261" s="6"/>
      <c r="D261" s="6"/>
      <c r="E261" s="6"/>
      <c r="F261" s="6"/>
      <c r="G261" s="6"/>
      <c r="H261" s="6"/>
      <c r="I261" s="18"/>
      <c r="J261" s="6"/>
      <c r="K261" s="6"/>
      <c r="L261" s="9"/>
      <c r="M261" s="6"/>
      <c r="N261" s="6"/>
      <c r="O261" s="9"/>
      <c r="P261" s="6"/>
      <c r="Q261" s="6"/>
      <c r="R261" s="18"/>
      <c r="S261" s="9"/>
    </row>
    <row r="262" spans="1:19" ht="14.25" customHeight="1">
      <c r="A262" s="29"/>
      <c r="B262" s="6"/>
      <c r="C262" s="6"/>
      <c r="D262" s="6"/>
      <c r="E262" s="6"/>
      <c r="F262" s="6"/>
      <c r="G262" s="6"/>
      <c r="H262" s="6"/>
      <c r="I262" s="18"/>
      <c r="J262" s="6"/>
      <c r="K262" s="6"/>
      <c r="L262" s="9"/>
      <c r="M262" s="6"/>
      <c r="N262" s="6"/>
      <c r="O262" s="9"/>
      <c r="P262" s="6"/>
      <c r="Q262" s="6"/>
      <c r="R262" s="18"/>
      <c r="S262" s="9"/>
    </row>
    <row r="263" spans="1:19" ht="14.25" customHeight="1">
      <c r="A263" s="29"/>
      <c r="B263" s="6"/>
      <c r="C263" s="6"/>
      <c r="D263" s="6"/>
      <c r="E263" s="6"/>
      <c r="F263" s="6"/>
      <c r="G263" s="6"/>
      <c r="H263" s="6"/>
      <c r="I263" s="18"/>
      <c r="J263" s="6"/>
      <c r="K263" s="6"/>
      <c r="L263" s="9"/>
      <c r="M263" s="6"/>
      <c r="N263" s="6"/>
      <c r="O263" s="9"/>
      <c r="P263" s="6"/>
      <c r="Q263" s="6"/>
      <c r="R263" s="18"/>
      <c r="S263" s="9"/>
    </row>
    <row r="264" spans="1:19" ht="14.25" customHeight="1">
      <c r="A264" s="29"/>
      <c r="B264" s="6"/>
      <c r="C264" s="6"/>
      <c r="D264" s="6"/>
      <c r="E264" s="6"/>
      <c r="F264" s="6"/>
      <c r="G264" s="6"/>
      <c r="H264" s="6"/>
      <c r="I264" s="18"/>
      <c r="J264" s="6"/>
      <c r="K264" s="6"/>
      <c r="L264" s="9"/>
      <c r="M264" s="6"/>
      <c r="N264" s="6"/>
      <c r="O264" s="9"/>
      <c r="P264" s="6"/>
      <c r="Q264" s="6"/>
      <c r="R264" s="18"/>
      <c r="S264" s="9"/>
    </row>
    <row r="265" spans="1:19" ht="14.25" customHeight="1">
      <c r="A265" s="29"/>
      <c r="B265" s="6"/>
      <c r="C265" s="6"/>
      <c r="D265" s="6"/>
      <c r="E265" s="6"/>
      <c r="F265" s="6"/>
      <c r="G265" s="6"/>
      <c r="H265" s="6"/>
      <c r="I265" s="18"/>
      <c r="J265" s="6"/>
      <c r="K265" s="6"/>
      <c r="L265" s="9"/>
      <c r="M265" s="6"/>
      <c r="N265" s="6"/>
      <c r="O265" s="9"/>
      <c r="P265" s="6"/>
      <c r="Q265" s="6"/>
      <c r="R265" s="18"/>
      <c r="S265" s="9"/>
    </row>
    <row r="266" spans="1:19" ht="14.25" customHeight="1">
      <c r="A266" s="29"/>
      <c r="B266" s="6"/>
      <c r="C266" s="6"/>
      <c r="D266" s="6"/>
      <c r="E266" s="6"/>
      <c r="F266" s="6"/>
      <c r="G266" s="6"/>
      <c r="H266" s="6"/>
      <c r="I266" s="18"/>
      <c r="J266" s="6"/>
      <c r="K266" s="6"/>
      <c r="L266" s="9"/>
      <c r="M266" s="6"/>
      <c r="N266" s="6"/>
      <c r="O266" s="9"/>
      <c r="P266" s="6"/>
      <c r="Q266" s="6"/>
      <c r="R266" s="18"/>
      <c r="S266" s="9"/>
    </row>
    <row r="267" spans="1:19" ht="14.25" customHeight="1">
      <c r="A267" s="29"/>
      <c r="B267" s="6"/>
      <c r="C267" s="6"/>
      <c r="D267" s="6"/>
      <c r="E267" s="6"/>
      <c r="F267" s="6"/>
      <c r="G267" s="6"/>
      <c r="H267" s="6"/>
      <c r="I267" s="18"/>
      <c r="J267" s="6"/>
      <c r="K267" s="6"/>
      <c r="L267" s="9"/>
      <c r="M267" s="6"/>
      <c r="N267" s="6"/>
      <c r="O267" s="9"/>
      <c r="P267" s="6"/>
      <c r="Q267" s="6"/>
      <c r="R267" s="18"/>
      <c r="S267" s="9"/>
    </row>
    <row r="268" spans="1:19" ht="14.25" customHeight="1">
      <c r="A268" s="29"/>
      <c r="B268" s="6"/>
      <c r="C268" s="6"/>
      <c r="D268" s="6"/>
      <c r="E268" s="6"/>
      <c r="F268" s="6"/>
      <c r="G268" s="6"/>
      <c r="H268" s="6"/>
      <c r="I268" s="18"/>
      <c r="J268" s="6"/>
      <c r="K268" s="6"/>
      <c r="L268" s="9"/>
      <c r="M268" s="6"/>
      <c r="N268" s="6"/>
      <c r="O268" s="9"/>
      <c r="P268" s="6"/>
      <c r="Q268" s="6"/>
      <c r="R268" s="18"/>
      <c r="S268" s="9"/>
    </row>
    <row r="269" spans="1:19" ht="14.25" customHeight="1">
      <c r="A269" s="29"/>
      <c r="B269" s="6"/>
      <c r="C269" s="6"/>
      <c r="D269" s="6"/>
      <c r="E269" s="6"/>
      <c r="F269" s="6"/>
      <c r="G269" s="6"/>
      <c r="H269" s="6"/>
      <c r="I269" s="18"/>
      <c r="J269" s="6"/>
      <c r="K269" s="6"/>
      <c r="L269" s="9"/>
      <c r="M269" s="6"/>
      <c r="N269" s="6"/>
      <c r="O269" s="9"/>
      <c r="P269" s="6"/>
      <c r="Q269" s="6"/>
      <c r="R269" s="18"/>
      <c r="S269" s="9"/>
    </row>
    <row r="270" spans="1:19" ht="14.25" customHeight="1">
      <c r="A270" s="29"/>
      <c r="B270" s="6"/>
      <c r="C270" s="6"/>
      <c r="D270" s="6"/>
      <c r="E270" s="6"/>
      <c r="F270" s="6"/>
      <c r="G270" s="6"/>
      <c r="H270" s="6"/>
      <c r="I270" s="18"/>
      <c r="J270" s="6"/>
      <c r="K270" s="6"/>
      <c r="L270" s="9"/>
      <c r="M270" s="6"/>
      <c r="N270" s="6"/>
      <c r="O270" s="9"/>
      <c r="P270" s="6"/>
      <c r="Q270" s="6"/>
      <c r="R270" s="18"/>
      <c r="S270" s="9"/>
    </row>
    <row r="271" spans="1:19" ht="14.25" customHeight="1">
      <c r="A271" s="29"/>
      <c r="B271" s="6"/>
      <c r="C271" s="6"/>
      <c r="D271" s="6"/>
      <c r="E271" s="6"/>
      <c r="F271" s="6"/>
      <c r="G271" s="6"/>
      <c r="H271" s="6"/>
      <c r="I271" s="18"/>
      <c r="J271" s="6"/>
      <c r="K271" s="6"/>
      <c r="L271" s="9"/>
      <c r="M271" s="6"/>
      <c r="N271" s="6"/>
      <c r="O271" s="9"/>
      <c r="P271" s="6"/>
      <c r="Q271" s="6"/>
      <c r="R271" s="18"/>
      <c r="S271" s="9"/>
    </row>
    <row r="272" spans="1:19" ht="14.25" customHeight="1">
      <c r="A272" s="29"/>
      <c r="B272" s="6"/>
      <c r="C272" s="6"/>
      <c r="D272" s="6"/>
      <c r="E272" s="6"/>
      <c r="F272" s="6"/>
      <c r="G272" s="6"/>
      <c r="H272" s="6"/>
      <c r="I272" s="18"/>
      <c r="J272" s="6"/>
      <c r="K272" s="6"/>
      <c r="L272" s="9"/>
      <c r="M272" s="6"/>
      <c r="N272" s="6"/>
      <c r="O272" s="9"/>
      <c r="P272" s="6"/>
      <c r="Q272" s="6"/>
      <c r="R272" s="18"/>
      <c r="S272" s="9"/>
    </row>
    <row r="273" spans="1:19" ht="14.25" customHeight="1">
      <c r="A273" s="29"/>
      <c r="B273" s="6"/>
      <c r="C273" s="6"/>
      <c r="D273" s="6"/>
      <c r="E273" s="6"/>
      <c r="F273" s="6"/>
      <c r="G273" s="6"/>
      <c r="H273" s="6"/>
      <c r="I273" s="18"/>
      <c r="J273" s="6"/>
      <c r="K273" s="6"/>
      <c r="L273" s="9"/>
      <c r="M273" s="6"/>
      <c r="N273" s="6"/>
      <c r="O273" s="9"/>
      <c r="P273" s="6"/>
      <c r="Q273" s="6"/>
      <c r="R273" s="18"/>
      <c r="S273" s="9"/>
    </row>
    <row r="274" spans="1:19" ht="14.25" customHeight="1">
      <c r="A274" s="29"/>
      <c r="B274" s="6"/>
      <c r="C274" s="6"/>
      <c r="D274" s="6"/>
      <c r="E274" s="6"/>
      <c r="F274" s="6"/>
      <c r="G274" s="6"/>
      <c r="H274" s="6"/>
      <c r="I274" s="18"/>
      <c r="J274" s="6"/>
      <c r="K274" s="6"/>
      <c r="L274" s="9"/>
      <c r="M274" s="6"/>
      <c r="N274" s="6"/>
      <c r="O274" s="9"/>
      <c r="P274" s="6"/>
      <c r="Q274" s="6"/>
      <c r="R274" s="18"/>
      <c r="S274" s="9"/>
    </row>
    <row r="275" spans="1:19" ht="14.25" customHeight="1">
      <c r="A275" s="29"/>
      <c r="B275" s="6"/>
      <c r="C275" s="6"/>
      <c r="D275" s="6"/>
      <c r="E275" s="6"/>
      <c r="F275" s="6"/>
      <c r="G275" s="6"/>
      <c r="H275" s="6"/>
      <c r="I275" s="18"/>
      <c r="J275" s="6"/>
      <c r="K275" s="6"/>
      <c r="L275" s="9"/>
      <c r="M275" s="6"/>
      <c r="N275" s="6"/>
      <c r="O275" s="9"/>
      <c r="P275" s="6"/>
      <c r="Q275" s="6"/>
      <c r="R275" s="18"/>
      <c r="S275" s="9"/>
    </row>
    <row r="276" spans="1:19" ht="14.25" customHeight="1">
      <c r="A276" s="29"/>
      <c r="B276" s="6"/>
      <c r="C276" s="6"/>
      <c r="D276" s="6"/>
      <c r="E276" s="6"/>
      <c r="F276" s="6"/>
      <c r="G276" s="6"/>
      <c r="H276" s="6"/>
      <c r="I276" s="18"/>
      <c r="J276" s="6"/>
      <c r="K276" s="6"/>
      <c r="L276" s="9"/>
      <c r="M276" s="6"/>
      <c r="N276" s="6"/>
      <c r="O276" s="9"/>
      <c r="P276" s="6"/>
      <c r="Q276" s="6"/>
      <c r="R276" s="18"/>
      <c r="S276" s="9"/>
    </row>
    <row r="277" spans="1:19" ht="14.25" customHeight="1">
      <c r="A277" s="29"/>
      <c r="B277" s="6"/>
      <c r="C277" s="6"/>
      <c r="D277" s="6"/>
      <c r="E277" s="6"/>
      <c r="F277" s="6"/>
      <c r="G277" s="6"/>
      <c r="H277" s="6"/>
      <c r="I277" s="18"/>
      <c r="J277" s="6"/>
      <c r="K277" s="6"/>
      <c r="L277" s="9"/>
      <c r="M277" s="6"/>
      <c r="N277" s="6"/>
      <c r="O277" s="9"/>
      <c r="P277" s="6"/>
      <c r="Q277" s="6"/>
      <c r="R277" s="18"/>
      <c r="S277" s="9"/>
    </row>
    <row r="278" spans="1:19" ht="14.25" customHeight="1">
      <c r="A278" s="29"/>
      <c r="B278" s="6"/>
      <c r="C278" s="6"/>
      <c r="D278" s="6"/>
      <c r="E278" s="6"/>
      <c r="F278" s="6"/>
      <c r="G278" s="6"/>
      <c r="H278" s="6"/>
      <c r="I278" s="18"/>
      <c r="J278" s="6"/>
      <c r="K278" s="6"/>
      <c r="L278" s="9"/>
      <c r="M278" s="6"/>
      <c r="N278" s="6"/>
      <c r="O278" s="9"/>
      <c r="P278" s="6"/>
      <c r="Q278" s="6"/>
      <c r="R278" s="18"/>
      <c r="S278" s="9"/>
    </row>
    <row r="279" spans="1:19" ht="14.25" customHeight="1">
      <c r="A279" s="29"/>
      <c r="B279" s="6"/>
      <c r="C279" s="6"/>
      <c r="D279" s="6"/>
      <c r="E279" s="6"/>
      <c r="F279" s="6"/>
      <c r="G279" s="6"/>
      <c r="H279" s="6"/>
      <c r="I279" s="18"/>
      <c r="J279" s="6"/>
      <c r="K279" s="6"/>
      <c r="L279" s="9"/>
      <c r="M279" s="6"/>
      <c r="N279" s="6"/>
      <c r="O279" s="9"/>
      <c r="P279" s="6"/>
      <c r="Q279" s="6"/>
      <c r="R279" s="18"/>
      <c r="S279" s="9"/>
    </row>
    <row r="280" spans="1:19" ht="14.25" customHeight="1">
      <c r="A280" s="29"/>
      <c r="B280" s="6"/>
      <c r="C280" s="6"/>
      <c r="D280" s="6"/>
      <c r="E280" s="6"/>
      <c r="F280" s="6"/>
      <c r="G280" s="6"/>
      <c r="H280" s="6"/>
      <c r="I280" s="18"/>
      <c r="J280" s="6"/>
      <c r="K280" s="6"/>
      <c r="L280" s="9"/>
      <c r="M280" s="6"/>
      <c r="N280" s="6"/>
      <c r="O280" s="9"/>
      <c r="P280" s="6"/>
      <c r="Q280" s="6"/>
      <c r="R280" s="18"/>
      <c r="S280" s="9"/>
    </row>
    <row r="281" spans="1:19" ht="14.25" customHeight="1">
      <c r="A281" s="29"/>
      <c r="B281" s="6"/>
      <c r="C281" s="6"/>
      <c r="D281" s="6"/>
      <c r="E281" s="6"/>
      <c r="F281" s="6"/>
      <c r="G281" s="6"/>
      <c r="H281" s="6"/>
      <c r="I281" s="18"/>
      <c r="J281" s="6"/>
      <c r="K281" s="6"/>
      <c r="L281" s="9"/>
      <c r="M281" s="6"/>
      <c r="N281" s="6"/>
      <c r="O281" s="9"/>
      <c r="P281" s="6"/>
      <c r="Q281" s="6"/>
      <c r="R281" s="18"/>
      <c r="S281" s="9"/>
    </row>
    <row r="282" spans="1:19" ht="14.25" customHeight="1">
      <c r="A282" s="29"/>
      <c r="B282" s="6"/>
      <c r="C282" s="6"/>
      <c r="D282" s="6"/>
      <c r="E282" s="6"/>
      <c r="F282" s="6"/>
      <c r="G282" s="6"/>
      <c r="H282" s="6"/>
      <c r="I282" s="18"/>
      <c r="J282" s="6"/>
      <c r="K282" s="6"/>
      <c r="L282" s="9"/>
      <c r="M282" s="6"/>
      <c r="N282" s="6"/>
      <c r="O282" s="9"/>
      <c r="P282" s="6"/>
      <c r="Q282" s="6"/>
      <c r="R282" s="18"/>
      <c r="S282" s="9"/>
    </row>
    <row r="283" spans="1:19" ht="14.25" customHeight="1">
      <c r="A283" s="29"/>
      <c r="B283" s="6"/>
      <c r="C283" s="6"/>
      <c r="D283" s="6"/>
      <c r="E283" s="6"/>
      <c r="F283" s="6"/>
      <c r="G283" s="6"/>
      <c r="H283" s="6"/>
      <c r="I283" s="18"/>
      <c r="J283" s="6"/>
      <c r="K283" s="6"/>
      <c r="L283" s="9"/>
      <c r="M283" s="6"/>
      <c r="N283" s="6"/>
      <c r="O283" s="9"/>
      <c r="P283" s="6"/>
      <c r="Q283" s="6"/>
      <c r="R283" s="18"/>
      <c r="S283" s="9"/>
    </row>
    <row r="284" spans="1:19" ht="14.25" customHeight="1">
      <c r="A284" s="29"/>
      <c r="B284" s="6"/>
      <c r="C284" s="6"/>
      <c r="D284" s="6"/>
      <c r="E284" s="6"/>
      <c r="F284" s="6"/>
      <c r="G284" s="6"/>
      <c r="H284" s="6"/>
      <c r="I284" s="18"/>
      <c r="J284" s="6"/>
      <c r="K284" s="6"/>
      <c r="L284" s="9"/>
      <c r="M284" s="6"/>
      <c r="N284" s="6"/>
      <c r="O284" s="9"/>
      <c r="P284" s="6"/>
      <c r="Q284" s="6"/>
      <c r="R284" s="18"/>
      <c r="S284" s="9"/>
    </row>
    <row r="285" spans="1:19" ht="14.25" customHeight="1">
      <c r="A285" s="29"/>
      <c r="B285" s="6"/>
      <c r="C285" s="6"/>
      <c r="D285" s="6"/>
      <c r="E285" s="6"/>
      <c r="F285" s="6"/>
      <c r="G285" s="6"/>
      <c r="H285" s="6"/>
      <c r="I285" s="18"/>
      <c r="J285" s="6"/>
      <c r="K285" s="6"/>
      <c r="L285" s="9"/>
      <c r="M285" s="6"/>
      <c r="N285" s="6"/>
      <c r="O285" s="9"/>
      <c r="P285" s="6"/>
      <c r="Q285" s="6"/>
      <c r="R285" s="18"/>
      <c r="S285" s="9"/>
    </row>
    <row r="286" spans="1:19" ht="14.25" customHeight="1">
      <c r="A286" s="29"/>
      <c r="B286" s="6"/>
      <c r="C286" s="6"/>
      <c r="D286" s="6"/>
      <c r="E286" s="6"/>
      <c r="F286" s="6"/>
      <c r="G286" s="6"/>
      <c r="H286" s="6"/>
      <c r="I286" s="18"/>
      <c r="J286" s="6"/>
      <c r="K286" s="6"/>
      <c r="L286" s="9"/>
      <c r="M286" s="6"/>
      <c r="N286" s="6"/>
      <c r="O286" s="9"/>
      <c r="P286" s="6"/>
      <c r="Q286" s="6"/>
      <c r="R286" s="18"/>
      <c r="S286" s="9"/>
    </row>
    <row r="287" spans="1:19" ht="14.25" customHeight="1">
      <c r="A287" s="29"/>
      <c r="B287" s="6"/>
      <c r="C287" s="6"/>
      <c r="D287" s="6"/>
      <c r="E287" s="6"/>
      <c r="F287" s="6"/>
      <c r="G287" s="6"/>
      <c r="H287" s="6"/>
      <c r="I287" s="18"/>
      <c r="J287" s="6"/>
      <c r="K287" s="6"/>
      <c r="L287" s="9"/>
      <c r="M287" s="6"/>
      <c r="N287" s="6"/>
      <c r="O287" s="9"/>
      <c r="P287" s="6"/>
      <c r="Q287" s="6"/>
      <c r="R287" s="18"/>
      <c r="S287" s="9"/>
    </row>
    <row r="288" spans="1:19" ht="14.25" customHeight="1">
      <c r="A288" s="29"/>
      <c r="B288" s="6"/>
      <c r="C288" s="6"/>
      <c r="D288" s="6"/>
      <c r="E288" s="6"/>
      <c r="F288" s="6"/>
      <c r="G288" s="6"/>
      <c r="H288" s="6"/>
      <c r="I288" s="18"/>
      <c r="J288" s="6"/>
      <c r="K288" s="6"/>
      <c r="L288" s="9"/>
      <c r="M288" s="6"/>
      <c r="N288" s="6"/>
      <c r="O288" s="9"/>
      <c r="P288" s="6"/>
      <c r="Q288" s="6"/>
      <c r="R288" s="18"/>
      <c r="S288" s="9"/>
    </row>
    <row r="289" spans="1:19" ht="14.25" customHeight="1">
      <c r="A289" s="29"/>
      <c r="B289" s="6"/>
      <c r="C289" s="6"/>
      <c r="D289" s="6"/>
      <c r="E289" s="6"/>
      <c r="F289" s="6"/>
      <c r="G289" s="6"/>
      <c r="H289" s="6"/>
      <c r="I289" s="18"/>
      <c r="J289" s="6"/>
      <c r="K289" s="6"/>
      <c r="L289" s="9"/>
      <c r="M289" s="6"/>
      <c r="N289" s="6"/>
      <c r="O289" s="9"/>
      <c r="P289" s="6"/>
      <c r="Q289" s="6"/>
      <c r="R289" s="18"/>
      <c r="S289" s="9"/>
    </row>
    <row r="290" spans="1:19" ht="14.25" customHeight="1">
      <c r="A290" s="29"/>
      <c r="B290" s="6"/>
      <c r="C290" s="6"/>
      <c r="D290" s="6"/>
      <c r="E290" s="6"/>
      <c r="F290" s="6"/>
      <c r="G290" s="6"/>
      <c r="H290" s="6"/>
      <c r="I290" s="18"/>
      <c r="J290" s="6"/>
      <c r="K290" s="6"/>
      <c r="L290" s="9"/>
      <c r="M290" s="6"/>
      <c r="N290" s="6"/>
      <c r="O290" s="9"/>
      <c r="P290" s="6"/>
      <c r="Q290" s="6"/>
      <c r="R290" s="18"/>
      <c r="S290" s="9"/>
    </row>
    <row r="291" spans="1:19" ht="14.25" customHeight="1">
      <c r="A291" s="29"/>
      <c r="B291" s="6"/>
      <c r="C291" s="6"/>
      <c r="D291" s="6"/>
      <c r="E291" s="6"/>
      <c r="F291" s="6"/>
      <c r="G291" s="6"/>
      <c r="H291" s="6"/>
      <c r="I291" s="18"/>
      <c r="J291" s="6"/>
      <c r="K291" s="6"/>
      <c r="L291" s="9"/>
      <c r="M291" s="6"/>
      <c r="N291" s="6"/>
      <c r="O291" s="9"/>
      <c r="P291" s="6"/>
      <c r="Q291" s="6"/>
      <c r="R291" s="18"/>
      <c r="S291" s="9"/>
    </row>
    <row r="292" spans="1:19" ht="14.25" customHeight="1">
      <c r="A292" s="29"/>
      <c r="B292" s="6"/>
      <c r="C292" s="6"/>
      <c r="D292" s="6"/>
      <c r="E292" s="6"/>
      <c r="F292" s="6"/>
      <c r="G292" s="6"/>
      <c r="H292" s="6"/>
      <c r="I292" s="18"/>
      <c r="J292" s="6"/>
      <c r="K292" s="6"/>
      <c r="L292" s="9"/>
      <c r="M292" s="6"/>
      <c r="N292" s="6"/>
      <c r="O292" s="9"/>
      <c r="P292" s="6"/>
      <c r="Q292" s="6"/>
      <c r="R292" s="18"/>
      <c r="S292" s="9"/>
    </row>
    <row r="293" spans="1:19" ht="14.25" customHeight="1">
      <c r="A293" s="29"/>
      <c r="B293" s="6"/>
      <c r="C293" s="6"/>
      <c r="D293" s="6"/>
      <c r="E293" s="6"/>
      <c r="F293" s="6"/>
      <c r="G293" s="6"/>
      <c r="H293" s="6"/>
      <c r="I293" s="18"/>
      <c r="J293" s="6"/>
      <c r="K293" s="6"/>
      <c r="L293" s="9"/>
      <c r="M293" s="6"/>
      <c r="N293" s="6"/>
      <c r="O293" s="9"/>
      <c r="P293" s="6"/>
      <c r="Q293" s="6"/>
      <c r="R293" s="18"/>
      <c r="S293" s="9"/>
    </row>
    <row r="294" spans="1:19" ht="14.25" customHeight="1">
      <c r="A294" s="29"/>
      <c r="B294" s="6"/>
      <c r="C294" s="6"/>
      <c r="D294" s="6"/>
      <c r="E294" s="6"/>
      <c r="F294" s="6"/>
      <c r="G294" s="6"/>
      <c r="H294" s="6"/>
      <c r="I294" s="18"/>
      <c r="J294" s="6"/>
      <c r="K294" s="6"/>
      <c r="L294" s="9"/>
      <c r="M294" s="6"/>
      <c r="N294" s="6"/>
      <c r="O294" s="9"/>
      <c r="P294" s="6"/>
      <c r="Q294" s="6"/>
      <c r="R294" s="18"/>
      <c r="S294" s="9"/>
    </row>
    <row r="295" spans="1:19" ht="14.25" customHeight="1">
      <c r="A295" s="29"/>
      <c r="B295" s="6"/>
      <c r="C295" s="6"/>
      <c r="D295" s="6"/>
      <c r="E295" s="6"/>
      <c r="F295" s="6"/>
      <c r="G295" s="6"/>
      <c r="H295" s="6"/>
      <c r="I295" s="18"/>
      <c r="J295" s="6"/>
      <c r="K295" s="6"/>
      <c r="L295" s="9"/>
      <c r="M295" s="6"/>
      <c r="N295" s="6"/>
      <c r="O295" s="9"/>
      <c r="P295" s="6"/>
      <c r="Q295" s="6"/>
      <c r="R295" s="18"/>
      <c r="S295" s="9"/>
    </row>
    <row r="296" spans="1:19" ht="14.25" customHeight="1">
      <c r="A296" s="29"/>
      <c r="B296" s="6"/>
      <c r="C296" s="6"/>
      <c r="D296" s="6"/>
      <c r="E296" s="6"/>
      <c r="F296" s="6"/>
      <c r="G296" s="6"/>
      <c r="H296" s="6"/>
      <c r="I296" s="18"/>
      <c r="J296" s="6"/>
      <c r="K296" s="6"/>
      <c r="L296" s="9"/>
      <c r="M296" s="6"/>
      <c r="N296" s="6"/>
      <c r="O296" s="9"/>
      <c r="P296" s="6"/>
      <c r="Q296" s="6"/>
      <c r="R296" s="18"/>
      <c r="S296" s="9"/>
    </row>
    <row r="297" spans="1:19" ht="14.25" customHeight="1">
      <c r="A297" s="29"/>
      <c r="B297" s="6"/>
      <c r="C297" s="6"/>
      <c r="D297" s="6"/>
      <c r="E297" s="6"/>
      <c r="F297" s="6"/>
      <c r="G297" s="6"/>
      <c r="H297" s="6"/>
      <c r="I297" s="18"/>
      <c r="J297" s="6"/>
      <c r="K297" s="6"/>
      <c r="L297" s="9"/>
      <c r="M297" s="6"/>
      <c r="N297" s="6"/>
      <c r="O297" s="9"/>
      <c r="P297" s="6"/>
      <c r="Q297" s="6"/>
      <c r="R297" s="18"/>
      <c r="S297" s="9"/>
    </row>
    <row r="298" spans="1:19" ht="14.25" customHeight="1">
      <c r="A298" s="29"/>
      <c r="B298" s="6"/>
      <c r="C298" s="6"/>
      <c r="D298" s="6"/>
      <c r="E298" s="6"/>
      <c r="F298" s="6"/>
      <c r="G298" s="6"/>
      <c r="H298" s="6"/>
      <c r="I298" s="18"/>
      <c r="J298" s="6"/>
      <c r="K298" s="6"/>
      <c r="L298" s="9"/>
      <c r="M298" s="6"/>
      <c r="N298" s="6"/>
      <c r="O298" s="9"/>
      <c r="P298" s="6"/>
      <c r="Q298" s="6"/>
      <c r="R298" s="18"/>
      <c r="S298" s="9"/>
    </row>
    <row r="299" spans="1:19" ht="14.25" customHeight="1">
      <c r="A299" s="29"/>
      <c r="B299" s="6"/>
      <c r="C299" s="6"/>
      <c r="D299" s="6"/>
      <c r="E299" s="6"/>
      <c r="F299" s="6"/>
      <c r="G299" s="6"/>
      <c r="H299" s="6"/>
      <c r="I299" s="18"/>
      <c r="J299" s="6"/>
      <c r="K299" s="6"/>
      <c r="L299" s="9"/>
      <c r="M299" s="6"/>
      <c r="N299" s="6"/>
      <c r="O299" s="9"/>
      <c r="P299" s="6"/>
      <c r="Q299" s="6"/>
      <c r="R299" s="18"/>
      <c r="S299" s="9"/>
    </row>
    <row r="300" spans="1:19" ht="14.25" customHeight="1">
      <c r="A300" s="29"/>
      <c r="B300" s="6"/>
      <c r="C300" s="6"/>
      <c r="D300" s="6"/>
      <c r="E300" s="6"/>
      <c r="F300" s="6"/>
      <c r="G300" s="6"/>
      <c r="H300" s="6"/>
      <c r="I300" s="18"/>
      <c r="J300" s="6"/>
      <c r="K300" s="6"/>
      <c r="L300" s="9"/>
      <c r="M300" s="6"/>
      <c r="N300" s="6"/>
      <c r="O300" s="9"/>
      <c r="P300" s="6"/>
      <c r="Q300" s="6"/>
      <c r="R300" s="18"/>
      <c r="S300" s="9"/>
    </row>
    <row r="301" spans="1:19" ht="14.25" customHeight="1">
      <c r="A301" s="29"/>
      <c r="B301" s="6"/>
      <c r="C301" s="6"/>
      <c r="D301" s="6"/>
      <c r="E301" s="6"/>
      <c r="F301" s="6"/>
      <c r="G301" s="6"/>
      <c r="H301" s="6"/>
      <c r="I301" s="18"/>
      <c r="J301" s="6"/>
      <c r="K301" s="6"/>
      <c r="L301" s="9"/>
      <c r="M301" s="6"/>
      <c r="N301" s="6"/>
      <c r="O301" s="9"/>
      <c r="P301" s="6"/>
      <c r="Q301" s="6"/>
      <c r="R301" s="18"/>
      <c r="S301" s="9"/>
    </row>
    <row r="302" spans="1:19" ht="14.25" customHeight="1">
      <c r="A302" s="29"/>
      <c r="B302" s="6"/>
      <c r="C302" s="6"/>
      <c r="D302" s="6"/>
      <c r="E302" s="6"/>
      <c r="F302" s="6"/>
      <c r="G302" s="6"/>
      <c r="H302" s="6"/>
      <c r="I302" s="18"/>
      <c r="J302" s="6"/>
      <c r="K302" s="6"/>
      <c r="L302" s="9"/>
      <c r="M302" s="6"/>
      <c r="N302" s="6"/>
      <c r="O302" s="9"/>
      <c r="P302" s="6"/>
      <c r="Q302" s="6"/>
      <c r="R302" s="18"/>
      <c r="S302" s="9"/>
    </row>
    <row r="303" spans="1:19" ht="14.25" customHeight="1">
      <c r="A303" s="29"/>
      <c r="B303" s="6"/>
      <c r="C303" s="6"/>
      <c r="D303" s="6"/>
      <c r="E303" s="6"/>
      <c r="F303" s="6"/>
      <c r="G303" s="6"/>
      <c r="H303" s="6"/>
      <c r="I303" s="18"/>
      <c r="J303" s="6"/>
      <c r="K303" s="6"/>
      <c r="L303" s="9"/>
      <c r="M303" s="6"/>
      <c r="N303" s="6"/>
      <c r="O303" s="9"/>
      <c r="P303" s="6"/>
      <c r="Q303" s="6"/>
      <c r="R303" s="18"/>
      <c r="S303" s="9"/>
    </row>
    <row r="304" spans="1:19" ht="14.25" customHeight="1">
      <c r="A304" s="29"/>
      <c r="B304" s="6"/>
      <c r="C304" s="6"/>
      <c r="D304" s="6"/>
      <c r="E304" s="6"/>
      <c r="F304" s="6"/>
      <c r="G304" s="6"/>
      <c r="H304" s="6"/>
      <c r="I304" s="18"/>
      <c r="J304" s="6"/>
      <c r="K304" s="6"/>
      <c r="L304" s="9"/>
      <c r="M304" s="6"/>
      <c r="N304" s="6"/>
      <c r="O304" s="9"/>
      <c r="P304" s="6"/>
      <c r="Q304" s="6"/>
      <c r="R304" s="18"/>
      <c r="S304" s="9"/>
    </row>
    <row r="305" spans="1:19" ht="14.25" customHeight="1">
      <c r="A305" s="29"/>
      <c r="B305" s="6"/>
      <c r="C305" s="6"/>
      <c r="D305" s="6"/>
      <c r="E305" s="6"/>
      <c r="F305" s="6"/>
      <c r="G305" s="6"/>
      <c r="H305" s="6"/>
      <c r="I305" s="18"/>
      <c r="J305" s="6"/>
      <c r="K305" s="6"/>
      <c r="L305" s="9"/>
      <c r="M305" s="6"/>
      <c r="N305" s="6"/>
      <c r="O305" s="9"/>
      <c r="P305" s="6"/>
      <c r="Q305" s="6"/>
      <c r="R305" s="18"/>
      <c r="S305" s="9"/>
    </row>
    <row r="306" spans="1:19" ht="14.25" customHeight="1">
      <c r="A306" s="29"/>
      <c r="B306" s="6"/>
      <c r="C306" s="6"/>
      <c r="D306" s="6"/>
      <c r="E306" s="6"/>
      <c r="F306" s="6"/>
      <c r="G306" s="6"/>
      <c r="H306" s="6"/>
      <c r="I306" s="18"/>
      <c r="J306" s="6"/>
      <c r="K306" s="6"/>
      <c r="L306" s="9"/>
      <c r="M306" s="6"/>
      <c r="N306" s="6"/>
      <c r="O306" s="9"/>
      <c r="P306" s="6"/>
      <c r="Q306" s="6"/>
      <c r="R306" s="18"/>
      <c r="S306" s="9"/>
    </row>
    <row r="307" spans="1:19" ht="14.25" customHeight="1">
      <c r="A307" s="29"/>
      <c r="B307" s="6"/>
      <c r="C307" s="6"/>
      <c r="D307" s="6"/>
      <c r="E307" s="6"/>
      <c r="F307" s="6"/>
      <c r="G307" s="6"/>
      <c r="H307" s="6"/>
      <c r="I307" s="18"/>
      <c r="J307" s="6"/>
      <c r="K307" s="6"/>
      <c r="L307" s="9"/>
      <c r="M307" s="6"/>
      <c r="N307" s="6"/>
      <c r="O307" s="9"/>
      <c r="P307" s="6"/>
      <c r="Q307" s="6"/>
      <c r="R307" s="18"/>
      <c r="S307" s="9"/>
    </row>
    <row r="308" spans="1:19" ht="14.25" customHeight="1">
      <c r="A308" s="29"/>
      <c r="B308" s="6"/>
      <c r="C308" s="6"/>
      <c r="D308" s="6"/>
      <c r="E308" s="6"/>
      <c r="F308" s="6"/>
      <c r="G308" s="6"/>
      <c r="H308" s="6"/>
      <c r="I308" s="18"/>
      <c r="J308" s="6"/>
      <c r="K308" s="6"/>
      <c r="L308" s="9"/>
      <c r="M308" s="6"/>
      <c r="N308" s="6"/>
      <c r="O308" s="9"/>
      <c r="P308" s="6"/>
      <c r="Q308" s="6"/>
      <c r="R308" s="18"/>
      <c r="S308" s="9"/>
    </row>
    <row r="309" spans="1:19" ht="14.25" customHeight="1">
      <c r="A309" s="29"/>
      <c r="B309" s="6"/>
      <c r="C309" s="6"/>
      <c r="D309" s="6"/>
      <c r="E309" s="6"/>
      <c r="F309" s="6"/>
      <c r="G309" s="6"/>
      <c r="H309" s="6"/>
      <c r="I309" s="18"/>
      <c r="J309" s="6"/>
      <c r="K309" s="6"/>
      <c r="L309" s="9"/>
      <c r="M309" s="6"/>
      <c r="N309" s="6"/>
      <c r="O309" s="9"/>
      <c r="P309" s="6"/>
      <c r="Q309" s="6"/>
      <c r="R309" s="18"/>
      <c r="S309" s="9"/>
    </row>
    <row r="310" spans="1:19" ht="14.25" customHeight="1">
      <c r="A310" s="29"/>
      <c r="B310" s="6"/>
      <c r="C310" s="6"/>
      <c r="D310" s="6"/>
      <c r="E310" s="6"/>
      <c r="F310" s="6"/>
      <c r="G310" s="6"/>
      <c r="H310" s="6"/>
      <c r="I310" s="18"/>
      <c r="J310" s="6"/>
      <c r="K310" s="6"/>
      <c r="L310" s="9"/>
      <c r="M310" s="6"/>
      <c r="N310" s="6"/>
      <c r="O310" s="9"/>
      <c r="P310" s="6"/>
      <c r="Q310" s="6"/>
      <c r="R310" s="18"/>
      <c r="S310" s="9"/>
    </row>
    <row r="311" spans="1:19" ht="14.25" customHeight="1">
      <c r="A311" s="29"/>
      <c r="B311" s="6"/>
      <c r="C311" s="6"/>
      <c r="D311" s="6"/>
      <c r="E311" s="6"/>
      <c r="F311" s="6"/>
      <c r="G311" s="6"/>
      <c r="H311" s="6"/>
      <c r="I311" s="18"/>
      <c r="J311" s="6"/>
      <c r="K311" s="6"/>
      <c r="L311" s="9"/>
      <c r="M311" s="6"/>
      <c r="N311" s="6"/>
      <c r="O311" s="9"/>
      <c r="P311" s="6"/>
      <c r="Q311" s="6"/>
      <c r="R311" s="18"/>
      <c r="S311" s="9"/>
    </row>
    <row r="312" spans="1:19" ht="14.25" customHeight="1">
      <c r="A312" s="29"/>
      <c r="B312" s="6"/>
      <c r="C312" s="6"/>
      <c r="D312" s="6"/>
      <c r="E312" s="6"/>
      <c r="F312" s="6"/>
      <c r="G312" s="6"/>
      <c r="H312" s="6"/>
      <c r="I312" s="18"/>
      <c r="J312" s="6"/>
      <c r="K312" s="6"/>
      <c r="L312" s="9"/>
      <c r="M312" s="6"/>
      <c r="N312" s="6"/>
      <c r="O312" s="9"/>
      <c r="P312" s="6"/>
      <c r="Q312" s="6"/>
      <c r="R312" s="18"/>
      <c r="S312" s="9"/>
    </row>
    <row r="313" spans="1:19" ht="14.25" customHeight="1">
      <c r="A313" s="29"/>
      <c r="B313" s="6"/>
      <c r="C313" s="6"/>
      <c r="D313" s="6"/>
      <c r="E313" s="6"/>
      <c r="F313" s="6"/>
      <c r="G313" s="6"/>
      <c r="H313" s="6"/>
      <c r="I313" s="18"/>
      <c r="J313" s="6"/>
      <c r="K313" s="6"/>
      <c r="L313" s="9"/>
      <c r="M313" s="6"/>
      <c r="N313" s="6"/>
      <c r="O313" s="9"/>
      <c r="P313" s="6"/>
      <c r="Q313" s="6"/>
      <c r="R313" s="18"/>
      <c r="S313" s="9"/>
    </row>
    <row r="314" spans="1:19" ht="14.25" customHeight="1">
      <c r="A314" s="29"/>
      <c r="B314" s="6"/>
      <c r="C314" s="6"/>
      <c r="D314" s="6"/>
      <c r="E314" s="6"/>
      <c r="F314" s="6"/>
      <c r="G314" s="6"/>
      <c r="H314" s="6"/>
      <c r="I314" s="18"/>
      <c r="J314" s="6"/>
      <c r="K314" s="6"/>
      <c r="L314" s="9"/>
      <c r="M314" s="6"/>
      <c r="N314" s="6"/>
      <c r="O314" s="9"/>
      <c r="P314" s="6"/>
      <c r="Q314" s="6"/>
      <c r="R314" s="18"/>
      <c r="S314" s="9"/>
    </row>
    <row r="315" spans="1:19" ht="14.25" customHeight="1">
      <c r="A315" s="29"/>
      <c r="B315" s="6"/>
      <c r="C315" s="6"/>
      <c r="D315" s="6"/>
      <c r="E315" s="6"/>
      <c r="F315" s="6"/>
      <c r="G315" s="6"/>
      <c r="H315" s="6"/>
      <c r="I315" s="18"/>
      <c r="J315" s="6"/>
      <c r="K315" s="6"/>
      <c r="L315" s="9"/>
      <c r="M315" s="6"/>
      <c r="N315" s="6"/>
      <c r="O315" s="9"/>
      <c r="P315" s="6"/>
      <c r="Q315" s="6"/>
      <c r="R315" s="18"/>
      <c r="S315" s="9"/>
    </row>
    <row r="316" spans="1:19" ht="14.25" customHeight="1">
      <c r="A316" s="29"/>
      <c r="B316" s="6"/>
      <c r="C316" s="6"/>
      <c r="D316" s="6"/>
      <c r="E316" s="6"/>
      <c r="F316" s="6"/>
      <c r="G316" s="6"/>
      <c r="H316" s="6"/>
      <c r="I316" s="18"/>
      <c r="J316" s="6"/>
      <c r="K316" s="6"/>
      <c r="L316" s="9"/>
      <c r="M316" s="6"/>
      <c r="N316" s="6"/>
      <c r="O316" s="9"/>
      <c r="P316" s="6"/>
      <c r="Q316" s="6"/>
      <c r="R316" s="18"/>
      <c r="S316" s="9"/>
    </row>
    <row r="317" spans="1:19" ht="14.25" customHeight="1">
      <c r="A317" s="29"/>
      <c r="B317" s="6"/>
      <c r="C317" s="6"/>
      <c r="D317" s="6"/>
      <c r="E317" s="6"/>
      <c r="F317" s="6"/>
      <c r="G317" s="6"/>
      <c r="H317" s="6"/>
      <c r="I317" s="18"/>
      <c r="J317" s="6"/>
      <c r="K317" s="6"/>
      <c r="L317" s="9"/>
      <c r="M317" s="6"/>
      <c r="N317" s="6"/>
      <c r="O317" s="9"/>
      <c r="P317" s="6"/>
      <c r="Q317" s="6"/>
      <c r="R317" s="18"/>
      <c r="S317" s="9"/>
    </row>
    <row r="318" spans="1:19" ht="14.25" customHeight="1">
      <c r="A318" s="29"/>
      <c r="B318" s="6"/>
      <c r="C318" s="6"/>
      <c r="D318" s="6"/>
      <c r="E318" s="6"/>
      <c r="F318" s="6"/>
      <c r="G318" s="6"/>
      <c r="H318" s="6"/>
      <c r="I318" s="18"/>
      <c r="J318" s="6"/>
      <c r="K318" s="6"/>
      <c r="L318" s="9"/>
      <c r="M318" s="6"/>
      <c r="N318" s="6"/>
      <c r="O318" s="9"/>
      <c r="P318" s="6"/>
      <c r="Q318" s="6"/>
      <c r="R318" s="18"/>
      <c r="S318" s="9"/>
    </row>
    <row r="319" spans="1:19" ht="14.25" customHeight="1">
      <c r="A319" s="29"/>
      <c r="B319" s="6"/>
      <c r="C319" s="6"/>
      <c r="D319" s="6"/>
      <c r="E319" s="6"/>
      <c r="F319" s="6"/>
      <c r="G319" s="6"/>
      <c r="H319" s="6"/>
      <c r="I319" s="18"/>
      <c r="J319" s="6"/>
      <c r="K319" s="6"/>
      <c r="L319" s="9"/>
      <c r="M319" s="6"/>
      <c r="N319" s="6"/>
      <c r="O319" s="9"/>
      <c r="P319" s="6"/>
      <c r="Q319" s="6"/>
      <c r="R319" s="18"/>
      <c r="S319" s="9"/>
    </row>
    <row r="320" spans="1:19" ht="14.25" customHeight="1">
      <c r="A320" s="29"/>
      <c r="B320" s="6"/>
      <c r="C320" s="6"/>
      <c r="D320" s="6"/>
      <c r="E320" s="6"/>
      <c r="F320" s="6"/>
      <c r="G320" s="6"/>
      <c r="H320" s="6"/>
      <c r="I320" s="18"/>
      <c r="J320" s="6"/>
      <c r="K320" s="6"/>
      <c r="L320" s="9"/>
      <c r="M320" s="6"/>
      <c r="N320" s="6"/>
      <c r="O320" s="9"/>
      <c r="P320" s="6"/>
      <c r="Q320" s="6"/>
      <c r="R320" s="18"/>
      <c r="S320" s="9"/>
    </row>
    <row r="321" spans="1:19" ht="14.25" customHeight="1">
      <c r="A321" s="29"/>
      <c r="B321" s="6"/>
      <c r="C321" s="6"/>
      <c r="D321" s="6"/>
      <c r="E321" s="6"/>
      <c r="F321" s="6"/>
      <c r="G321" s="6"/>
      <c r="H321" s="6"/>
      <c r="I321" s="18"/>
      <c r="J321" s="6"/>
      <c r="K321" s="6"/>
      <c r="L321" s="9"/>
      <c r="M321" s="6"/>
      <c r="N321" s="6"/>
      <c r="O321" s="9"/>
      <c r="P321" s="6"/>
      <c r="Q321" s="6"/>
      <c r="R321" s="18"/>
      <c r="S321" s="9"/>
    </row>
    <row r="322" spans="1:19" ht="14.25" customHeight="1">
      <c r="A322" s="29"/>
      <c r="B322" s="6"/>
      <c r="C322" s="6"/>
      <c r="D322" s="6"/>
      <c r="E322" s="6"/>
      <c r="F322" s="6"/>
      <c r="G322" s="6"/>
      <c r="H322" s="6"/>
      <c r="I322" s="18"/>
      <c r="J322" s="6"/>
      <c r="K322" s="6"/>
      <c r="L322" s="9"/>
      <c r="M322" s="6"/>
      <c r="N322" s="6"/>
      <c r="O322" s="9"/>
      <c r="P322" s="6"/>
      <c r="Q322" s="6"/>
      <c r="R322" s="18"/>
      <c r="S322" s="9"/>
    </row>
    <row r="323" spans="1:19" ht="14.25" customHeight="1">
      <c r="A323" s="29"/>
      <c r="B323" s="6"/>
      <c r="C323" s="6"/>
      <c r="D323" s="6"/>
      <c r="E323" s="6"/>
      <c r="F323" s="6"/>
      <c r="G323" s="6"/>
      <c r="H323" s="6"/>
      <c r="I323" s="18"/>
      <c r="J323" s="6"/>
      <c r="K323" s="6"/>
      <c r="L323" s="9"/>
      <c r="M323" s="6"/>
      <c r="N323" s="6"/>
      <c r="O323" s="9"/>
      <c r="P323" s="6"/>
      <c r="Q323" s="6"/>
      <c r="R323" s="18"/>
      <c r="S323" s="9"/>
    </row>
    <row r="324" spans="1:19" ht="14.25" customHeight="1">
      <c r="A324" s="29"/>
      <c r="B324" s="6"/>
      <c r="C324" s="6"/>
      <c r="D324" s="6"/>
      <c r="E324" s="6"/>
      <c r="F324" s="6"/>
      <c r="G324" s="6"/>
      <c r="H324" s="6"/>
      <c r="I324" s="18"/>
      <c r="J324" s="6"/>
      <c r="K324" s="6"/>
      <c r="L324" s="9"/>
      <c r="M324" s="6"/>
      <c r="N324" s="6"/>
      <c r="O324" s="9"/>
      <c r="P324" s="6"/>
      <c r="Q324" s="6"/>
      <c r="R324" s="18"/>
      <c r="S324" s="9"/>
    </row>
    <row r="325" spans="1:19" ht="14.25" customHeight="1">
      <c r="A325" s="29"/>
      <c r="B325" s="6"/>
      <c r="C325" s="6"/>
      <c r="D325" s="6"/>
      <c r="E325" s="6"/>
      <c r="F325" s="6"/>
      <c r="G325" s="6"/>
      <c r="H325" s="6"/>
      <c r="I325" s="18"/>
      <c r="J325" s="6"/>
      <c r="K325" s="6"/>
      <c r="L325" s="9"/>
      <c r="M325" s="6"/>
      <c r="N325" s="6"/>
      <c r="O325" s="9"/>
      <c r="P325" s="6"/>
      <c r="Q325" s="6"/>
      <c r="R325" s="18"/>
      <c r="S325" s="9"/>
    </row>
    <row r="326" spans="1:19" ht="14.25" customHeight="1">
      <c r="A326" s="29"/>
      <c r="B326" s="6"/>
      <c r="C326" s="6"/>
      <c r="D326" s="6"/>
      <c r="E326" s="6"/>
      <c r="F326" s="6"/>
      <c r="G326" s="6"/>
      <c r="H326" s="6"/>
      <c r="I326" s="18"/>
      <c r="J326" s="6"/>
      <c r="K326" s="6"/>
      <c r="L326" s="9"/>
      <c r="M326" s="6"/>
      <c r="N326" s="6"/>
      <c r="O326" s="9"/>
      <c r="P326" s="6"/>
      <c r="Q326" s="6"/>
      <c r="R326" s="18"/>
      <c r="S326" s="9"/>
    </row>
    <row r="327" spans="1:19" ht="14.25" customHeight="1">
      <c r="A327" s="29"/>
      <c r="B327" s="6"/>
      <c r="C327" s="6"/>
      <c r="D327" s="6"/>
      <c r="E327" s="6"/>
      <c r="F327" s="6"/>
      <c r="G327" s="6"/>
      <c r="H327" s="6"/>
      <c r="I327" s="18"/>
      <c r="J327" s="6"/>
      <c r="K327" s="6"/>
      <c r="L327" s="9"/>
      <c r="M327" s="6"/>
      <c r="N327" s="6"/>
      <c r="O327" s="9"/>
      <c r="P327" s="6"/>
      <c r="Q327" s="6"/>
      <c r="R327" s="18"/>
      <c r="S327" s="9"/>
    </row>
    <row r="328" spans="1:19" ht="14.25" customHeight="1">
      <c r="A328" s="29"/>
      <c r="B328" s="6"/>
      <c r="C328" s="6"/>
      <c r="D328" s="6"/>
      <c r="E328" s="6"/>
      <c r="F328" s="6"/>
      <c r="G328" s="6"/>
      <c r="H328" s="6"/>
      <c r="I328" s="18"/>
      <c r="J328" s="6"/>
      <c r="K328" s="6"/>
      <c r="L328" s="9"/>
      <c r="M328" s="6"/>
      <c r="N328" s="6"/>
      <c r="O328" s="9"/>
      <c r="P328" s="6"/>
      <c r="Q328" s="6"/>
      <c r="R328" s="18"/>
      <c r="S328" s="9"/>
    </row>
    <row r="329" spans="1:19" ht="14.25" customHeight="1">
      <c r="A329" s="29"/>
      <c r="B329" s="6"/>
      <c r="C329" s="6"/>
      <c r="D329" s="6"/>
      <c r="E329" s="6"/>
      <c r="F329" s="6"/>
      <c r="G329" s="6"/>
      <c r="H329" s="6"/>
      <c r="I329" s="18"/>
      <c r="J329" s="6"/>
      <c r="K329" s="6"/>
      <c r="L329" s="9"/>
      <c r="M329" s="6"/>
      <c r="N329" s="6"/>
      <c r="O329" s="9"/>
      <c r="P329" s="6"/>
      <c r="Q329" s="6"/>
      <c r="R329" s="18"/>
      <c r="S329" s="9"/>
    </row>
    <row r="330" spans="1:19" ht="14.25" customHeight="1">
      <c r="A330" s="29"/>
      <c r="B330" s="6"/>
      <c r="C330" s="6"/>
      <c r="D330" s="6"/>
      <c r="E330" s="6"/>
      <c r="F330" s="6"/>
      <c r="G330" s="6"/>
      <c r="H330" s="6"/>
      <c r="I330" s="18"/>
      <c r="J330" s="6"/>
      <c r="K330" s="6"/>
      <c r="L330" s="9"/>
      <c r="M330" s="6"/>
      <c r="N330" s="6"/>
      <c r="O330" s="9"/>
      <c r="P330" s="6"/>
      <c r="Q330" s="6"/>
      <c r="R330" s="18"/>
      <c r="S330" s="9"/>
    </row>
    <row r="331" spans="1:19" ht="14.25" customHeight="1">
      <c r="A331" s="29"/>
      <c r="B331" s="6"/>
      <c r="C331" s="6"/>
      <c r="D331" s="6"/>
      <c r="E331" s="6"/>
      <c r="F331" s="6"/>
      <c r="G331" s="6"/>
      <c r="H331" s="6"/>
      <c r="I331" s="18"/>
      <c r="J331" s="6"/>
      <c r="K331" s="6"/>
      <c r="L331" s="9"/>
      <c r="M331" s="6"/>
      <c r="N331" s="6"/>
      <c r="O331" s="9"/>
      <c r="P331" s="6"/>
      <c r="Q331" s="6"/>
      <c r="R331" s="18"/>
      <c r="S331" s="9"/>
    </row>
    <row r="332" spans="1:19" ht="14.25" customHeight="1">
      <c r="A332" s="29"/>
      <c r="B332" s="6"/>
      <c r="C332" s="6"/>
      <c r="D332" s="6"/>
      <c r="E332" s="6"/>
      <c r="F332" s="6"/>
      <c r="G332" s="6"/>
      <c r="H332" s="6"/>
      <c r="I332" s="18"/>
      <c r="J332" s="6"/>
      <c r="K332" s="6"/>
      <c r="L332" s="9"/>
      <c r="M332" s="6"/>
      <c r="N332" s="6"/>
      <c r="O332" s="9"/>
      <c r="P332" s="6"/>
      <c r="Q332" s="6"/>
      <c r="R332" s="18"/>
      <c r="S332" s="9"/>
    </row>
    <row r="333" spans="1:19" ht="14.25" customHeight="1">
      <c r="A333" s="29"/>
      <c r="B333" s="6"/>
      <c r="C333" s="6"/>
      <c r="D333" s="6"/>
      <c r="E333" s="6"/>
      <c r="F333" s="6"/>
      <c r="G333" s="6"/>
      <c r="H333" s="6"/>
      <c r="I333" s="18"/>
      <c r="J333" s="6"/>
      <c r="K333" s="6"/>
      <c r="L333" s="9"/>
      <c r="M333" s="6"/>
      <c r="N333" s="6"/>
      <c r="O333" s="9"/>
      <c r="P333" s="6"/>
      <c r="Q333" s="6"/>
      <c r="R333" s="18"/>
      <c r="S333" s="9"/>
    </row>
    <row r="334" spans="1:19" ht="14.25" customHeight="1">
      <c r="A334" s="29"/>
      <c r="B334" s="6"/>
      <c r="C334" s="6"/>
      <c r="D334" s="6"/>
      <c r="E334" s="6"/>
      <c r="F334" s="6"/>
      <c r="G334" s="6"/>
      <c r="H334" s="6"/>
      <c r="I334" s="18"/>
      <c r="J334" s="6"/>
      <c r="K334" s="6"/>
      <c r="L334" s="9"/>
      <c r="M334" s="6"/>
      <c r="N334" s="6"/>
      <c r="O334" s="9"/>
      <c r="P334" s="6"/>
      <c r="Q334" s="6"/>
      <c r="R334" s="18"/>
      <c r="S334" s="9"/>
    </row>
    <row r="335" spans="1:19" ht="14.25" customHeight="1">
      <c r="A335" s="29"/>
      <c r="B335" s="6"/>
      <c r="C335" s="6"/>
      <c r="D335" s="6"/>
      <c r="E335" s="6"/>
      <c r="F335" s="6"/>
      <c r="G335" s="6"/>
      <c r="H335" s="6"/>
      <c r="I335" s="18"/>
      <c r="J335" s="6"/>
      <c r="K335" s="6"/>
      <c r="L335" s="9"/>
      <c r="M335" s="6"/>
      <c r="N335" s="6"/>
      <c r="O335" s="9"/>
      <c r="P335" s="6"/>
      <c r="Q335" s="6"/>
      <c r="R335" s="18"/>
      <c r="S335" s="9"/>
    </row>
    <row r="336" spans="1:19" ht="14.25" customHeight="1">
      <c r="A336" s="29"/>
      <c r="B336" s="6"/>
      <c r="C336" s="6"/>
      <c r="D336" s="6"/>
      <c r="E336" s="6"/>
      <c r="F336" s="6"/>
      <c r="G336" s="6"/>
      <c r="H336" s="6"/>
      <c r="I336" s="18"/>
      <c r="J336" s="6"/>
      <c r="K336" s="6"/>
      <c r="L336" s="9"/>
      <c r="M336" s="6"/>
      <c r="N336" s="6"/>
      <c r="O336" s="9"/>
      <c r="P336" s="6"/>
      <c r="Q336" s="6"/>
      <c r="R336" s="18"/>
      <c r="S336" s="9"/>
    </row>
    <row r="337" spans="1:19" ht="14.25" customHeight="1">
      <c r="A337" s="29"/>
      <c r="B337" s="6"/>
      <c r="C337" s="6"/>
      <c r="D337" s="6"/>
      <c r="E337" s="6"/>
      <c r="F337" s="6"/>
      <c r="G337" s="6"/>
      <c r="H337" s="6"/>
      <c r="I337" s="18"/>
      <c r="J337" s="6"/>
      <c r="K337" s="6"/>
      <c r="L337" s="9"/>
      <c r="M337" s="6"/>
      <c r="N337" s="6"/>
      <c r="O337" s="9"/>
      <c r="P337" s="6"/>
      <c r="Q337" s="6"/>
      <c r="R337" s="18"/>
      <c r="S337" s="9"/>
    </row>
    <row r="338" spans="1:19" ht="14.25" customHeight="1">
      <c r="A338" s="29"/>
      <c r="B338" s="6"/>
      <c r="C338" s="6"/>
      <c r="D338" s="6"/>
      <c r="E338" s="6"/>
      <c r="F338" s="6"/>
      <c r="G338" s="6"/>
      <c r="H338" s="6"/>
      <c r="I338" s="18"/>
      <c r="J338" s="6"/>
      <c r="K338" s="6"/>
      <c r="L338" s="9"/>
      <c r="M338" s="6"/>
      <c r="N338" s="6"/>
      <c r="O338" s="9"/>
      <c r="P338" s="6"/>
      <c r="Q338" s="6"/>
      <c r="R338" s="18"/>
      <c r="S338" s="9"/>
    </row>
    <row r="339" spans="1:19" ht="14.25" customHeight="1">
      <c r="A339" s="29"/>
      <c r="B339" s="6"/>
      <c r="C339" s="6"/>
      <c r="D339" s="6"/>
      <c r="E339" s="6"/>
      <c r="F339" s="6"/>
      <c r="G339" s="6"/>
      <c r="H339" s="6"/>
      <c r="I339" s="18"/>
      <c r="J339" s="6"/>
      <c r="K339" s="6"/>
      <c r="L339" s="9"/>
      <c r="M339" s="6"/>
      <c r="N339" s="6"/>
      <c r="O339" s="9"/>
      <c r="P339" s="6"/>
      <c r="Q339" s="6"/>
      <c r="R339" s="18"/>
      <c r="S339" s="9"/>
    </row>
    <row r="340" spans="1:19" ht="14.25" customHeight="1">
      <c r="A340" s="29"/>
      <c r="B340" s="6"/>
      <c r="C340" s="6"/>
      <c r="D340" s="6"/>
      <c r="E340" s="6"/>
      <c r="F340" s="6"/>
      <c r="G340" s="6"/>
      <c r="H340" s="6"/>
      <c r="I340" s="18"/>
      <c r="J340" s="6"/>
      <c r="K340" s="6"/>
      <c r="L340" s="9"/>
      <c r="M340" s="6"/>
      <c r="N340" s="6"/>
      <c r="O340" s="9"/>
      <c r="P340" s="6"/>
      <c r="Q340" s="6"/>
      <c r="R340" s="18"/>
      <c r="S340" s="9"/>
    </row>
    <row r="341" spans="1:19" ht="14.25" customHeight="1">
      <c r="A341" s="29"/>
      <c r="B341" s="6"/>
      <c r="C341" s="6"/>
      <c r="D341" s="6"/>
      <c r="E341" s="6"/>
      <c r="F341" s="6"/>
      <c r="G341" s="6"/>
      <c r="H341" s="6"/>
      <c r="I341" s="18"/>
      <c r="J341" s="6"/>
      <c r="K341" s="6"/>
      <c r="L341" s="9"/>
      <c r="M341" s="6"/>
      <c r="N341" s="6"/>
      <c r="O341" s="9"/>
      <c r="P341" s="6"/>
      <c r="Q341" s="6"/>
      <c r="R341" s="18"/>
      <c r="S341" s="9"/>
    </row>
    <row r="342" spans="1:19" ht="14.25" customHeight="1">
      <c r="A342" s="29"/>
      <c r="B342" s="6"/>
      <c r="C342" s="6"/>
      <c r="D342" s="6"/>
      <c r="E342" s="6"/>
      <c r="F342" s="6"/>
      <c r="G342" s="6"/>
      <c r="H342" s="6"/>
      <c r="I342" s="18"/>
      <c r="J342" s="6"/>
      <c r="K342" s="6"/>
      <c r="L342" s="9"/>
      <c r="M342" s="6"/>
      <c r="N342" s="6"/>
      <c r="O342" s="9"/>
      <c r="P342" s="6"/>
      <c r="Q342" s="6"/>
      <c r="R342" s="18"/>
      <c r="S342" s="9"/>
    </row>
    <row r="343" spans="1:19" ht="14.25" customHeight="1">
      <c r="A343" s="29"/>
      <c r="B343" s="6"/>
      <c r="C343" s="6"/>
      <c r="D343" s="6"/>
      <c r="E343" s="6"/>
      <c r="F343" s="6"/>
      <c r="G343" s="6"/>
      <c r="H343" s="6"/>
      <c r="I343" s="18"/>
      <c r="J343" s="6"/>
      <c r="K343" s="6"/>
      <c r="L343" s="9"/>
      <c r="M343" s="6"/>
      <c r="N343" s="6"/>
      <c r="O343" s="9"/>
      <c r="P343" s="6"/>
      <c r="Q343" s="6"/>
      <c r="R343" s="18"/>
      <c r="S343" s="9"/>
    </row>
    <row r="344" spans="1:19" ht="14.25" customHeight="1">
      <c r="A344" s="29"/>
      <c r="B344" s="6"/>
      <c r="C344" s="6"/>
      <c r="D344" s="6"/>
      <c r="E344" s="6"/>
      <c r="F344" s="6"/>
      <c r="G344" s="6"/>
      <c r="H344" s="6"/>
      <c r="I344" s="18"/>
      <c r="J344" s="6"/>
      <c r="K344" s="6"/>
      <c r="L344" s="9"/>
      <c r="M344" s="6"/>
      <c r="N344" s="6"/>
      <c r="O344" s="9"/>
      <c r="P344" s="6"/>
      <c r="Q344" s="6"/>
      <c r="R344" s="18"/>
      <c r="S344" s="9"/>
    </row>
    <row r="345" spans="1:19" ht="14.25" customHeight="1">
      <c r="A345" s="29"/>
      <c r="B345" s="6"/>
      <c r="C345" s="6"/>
      <c r="D345" s="6"/>
      <c r="E345" s="6"/>
      <c r="F345" s="6"/>
      <c r="G345" s="6"/>
      <c r="H345" s="6"/>
      <c r="I345" s="18"/>
      <c r="J345" s="6"/>
      <c r="K345" s="6"/>
      <c r="L345" s="9"/>
      <c r="M345" s="6"/>
      <c r="N345" s="6"/>
      <c r="O345" s="9"/>
      <c r="P345" s="6"/>
      <c r="Q345" s="6"/>
      <c r="R345" s="18"/>
      <c r="S345" s="9"/>
    </row>
    <row r="346" spans="1:19" ht="14.25" customHeight="1">
      <c r="A346" s="29"/>
      <c r="B346" s="6"/>
      <c r="C346" s="6"/>
      <c r="D346" s="6"/>
      <c r="E346" s="6"/>
      <c r="F346" s="6"/>
      <c r="G346" s="6"/>
      <c r="H346" s="6"/>
      <c r="I346" s="18"/>
      <c r="J346" s="6"/>
      <c r="K346" s="6"/>
      <c r="L346" s="9"/>
      <c r="M346" s="6"/>
      <c r="N346" s="6"/>
      <c r="O346" s="9"/>
      <c r="P346" s="6"/>
      <c r="Q346" s="6"/>
      <c r="R346" s="18"/>
      <c r="S346" s="9"/>
    </row>
    <row r="347" spans="1:19" ht="14.25" customHeight="1">
      <c r="A347" s="29"/>
      <c r="B347" s="6"/>
      <c r="C347" s="6"/>
      <c r="D347" s="6"/>
      <c r="E347" s="6"/>
      <c r="F347" s="6"/>
      <c r="G347" s="6"/>
      <c r="H347" s="6"/>
      <c r="I347" s="18"/>
      <c r="J347" s="6"/>
      <c r="K347" s="6"/>
      <c r="L347" s="9"/>
      <c r="M347" s="6"/>
      <c r="N347" s="6"/>
      <c r="O347" s="9"/>
      <c r="P347" s="6"/>
      <c r="Q347" s="6"/>
      <c r="R347" s="18"/>
      <c r="S347" s="9"/>
    </row>
    <row r="348" spans="1:19" ht="14.25" customHeight="1">
      <c r="A348" s="29"/>
      <c r="B348" s="6"/>
      <c r="C348" s="6"/>
      <c r="D348" s="6"/>
      <c r="E348" s="6"/>
      <c r="F348" s="6"/>
      <c r="G348" s="6"/>
      <c r="H348" s="6"/>
      <c r="I348" s="18"/>
      <c r="J348" s="6"/>
      <c r="K348" s="6"/>
      <c r="L348" s="9"/>
      <c r="M348" s="6"/>
      <c r="N348" s="6"/>
      <c r="O348" s="9"/>
      <c r="P348" s="6"/>
      <c r="Q348" s="6"/>
      <c r="R348" s="18"/>
      <c r="S348" s="9"/>
    </row>
    <row r="349" spans="1:19" ht="14.25" customHeight="1">
      <c r="A349" s="29"/>
      <c r="B349" s="6"/>
      <c r="C349" s="6"/>
      <c r="D349" s="6"/>
      <c r="E349" s="6"/>
      <c r="F349" s="6"/>
      <c r="G349" s="6"/>
      <c r="H349" s="6"/>
      <c r="I349" s="18"/>
      <c r="J349" s="6"/>
      <c r="K349" s="6"/>
      <c r="L349" s="9"/>
      <c r="M349" s="6"/>
      <c r="N349" s="6"/>
      <c r="O349" s="9"/>
      <c r="P349" s="6"/>
      <c r="Q349" s="6"/>
      <c r="R349" s="18"/>
      <c r="S349" s="9"/>
    </row>
    <row r="350" spans="1:19" ht="14.25" customHeight="1">
      <c r="A350" s="29"/>
      <c r="B350" s="6"/>
      <c r="C350" s="6"/>
      <c r="D350" s="6"/>
      <c r="E350" s="6"/>
      <c r="F350" s="6"/>
      <c r="G350" s="6"/>
      <c r="H350" s="6"/>
      <c r="I350" s="18"/>
      <c r="J350" s="6"/>
      <c r="K350" s="6"/>
      <c r="L350" s="9"/>
      <c r="M350" s="6"/>
      <c r="N350" s="6"/>
      <c r="O350" s="9"/>
      <c r="P350" s="6"/>
      <c r="Q350" s="6"/>
      <c r="R350" s="18"/>
      <c r="S350" s="9"/>
    </row>
    <row r="351" spans="1:19" ht="14.25" customHeight="1">
      <c r="A351" s="29"/>
      <c r="B351" s="6"/>
      <c r="C351" s="6"/>
      <c r="D351" s="6"/>
      <c r="E351" s="6"/>
      <c r="F351" s="6"/>
      <c r="G351" s="6"/>
      <c r="H351" s="6"/>
      <c r="I351" s="18"/>
      <c r="J351" s="6"/>
      <c r="K351" s="6"/>
      <c r="L351" s="9"/>
      <c r="M351" s="6"/>
      <c r="N351" s="6"/>
      <c r="O351" s="9"/>
      <c r="P351" s="6"/>
      <c r="Q351" s="6"/>
      <c r="R351" s="18"/>
      <c r="S351" s="9"/>
    </row>
    <row r="352" spans="1:19" ht="14.25" customHeight="1">
      <c r="A352" s="29"/>
      <c r="B352" s="6"/>
      <c r="C352" s="6"/>
      <c r="D352" s="6"/>
      <c r="E352" s="6"/>
      <c r="F352" s="6"/>
      <c r="G352" s="6"/>
      <c r="H352" s="6"/>
      <c r="I352" s="18"/>
      <c r="J352" s="6"/>
      <c r="K352" s="6"/>
      <c r="L352" s="9"/>
      <c r="M352" s="6"/>
      <c r="N352" s="6"/>
      <c r="O352" s="9"/>
      <c r="P352" s="6"/>
      <c r="Q352" s="6"/>
      <c r="R352" s="18"/>
      <c r="S352" s="9"/>
    </row>
    <row r="353" spans="1:19" ht="14.25" customHeight="1">
      <c r="A353" s="29"/>
      <c r="B353" s="6"/>
      <c r="C353" s="6"/>
      <c r="D353" s="6"/>
      <c r="E353" s="6"/>
      <c r="F353" s="6"/>
      <c r="G353" s="6"/>
      <c r="H353" s="6"/>
      <c r="I353" s="18"/>
      <c r="J353" s="6"/>
      <c r="K353" s="6"/>
      <c r="L353" s="9"/>
      <c r="M353" s="6"/>
      <c r="N353" s="6"/>
      <c r="O353" s="9"/>
      <c r="P353" s="6"/>
      <c r="Q353" s="6"/>
      <c r="R353" s="18"/>
      <c r="S353" s="9"/>
    </row>
    <row r="354" spans="1:19" ht="14.25" customHeight="1">
      <c r="A354" s="29"/>
      <c r="B354" s="6"/>
      <c r="C354" s="6"/>
      <c r="D354" s="6"/>
      <c r="E354" s="6"/>
      <c r="F354" s="6"/>
      <c r="G354" s="6"/>
      <c r="H354" s="6"/>
      <c r="I354" s="18"/>
      <c r="J354" s="6"/>
      <c r="K354" s="6"/>
      <c r="L354" s="9"/>
      <c r="M354" s="6"/>
      <c r="N354" s="6"/>
      <c r="O354" s="9"/>
      <c r="P354" s="6"/>
      <c r="Q354" s="6"/>
      <c r="R354" s="18"/>
      <c r="S354" s="9"/>
    </row>
    <row r="355" spans="1:19" ht="14.25" customHeight="1">
      <c r="A355" s="29"/>
      <c r="B355" s="6"/>
      <c r="C355" s="6"/>
      <c r="D355" s="6"/>
      <c r="E355" s="6"/>
      <c r="F355" s="6"/>
      <c r="G355" s="6"/>
      <c r="H355" s="6"/>
      <c r="I355" s="18"/>
      <c r="J355" s="6"/>
      <c r="K355" s="6"/>
      <c r="L355" s="9"/>
      <c r="M355" s="6"/>
      <c r="N355" s="6"/>
      <c r="O355" s="9"/>
      <c r="P355" s="6"/>
      <c r="Q355" s="6"/>
      <c r="R355" s="18"/>
      <c r="S355" s="9"/>
    </row>
    <row r="356" spans="1:19" ht="14.25" customHeight="1">
      <c r="A356" s="29"/>
      <c r="B356" s="6"/>
      <c r="C356" s="6"/>
      <c r="D356" s="6"/>
      <c r="E356" s="6"/>
      <c r="F356" s="6"/>
      <c r="G356" s="6"/>
      <c r="H356" s="6"/>
      <c r="I356" s="18"/>
      <c r="J356" s="6"/>
      <c r="K356" s="6"/>
      <c r="L356" s="9"/>
      <c r="M356" s="6"/>
      <c r="N356" s="6"/>
      <c r="O356" s="9"/>
      <c r="P356" s="6"/>
      <c r="Q356" s="6"/>
      <c r="R356" s="18"/>
      <c r="S356" s="9"/>
    </row>
    <row r="357" spans="1:19" ht="14.25" customHeight="1">
      <c r="A357" s="29"/>
      <c r="B357" s="6"/>
      <c r="C357" s="6"/>
      <c r="D357" s="6"/>
      <c r="E357" s="6"/>
      <c r="F357" s="6"/>
      <c r="G357" s="6"/>
      <c r="H357" s="6"/>
      <c r="I357" s="18"/>
      <c r="J357" s="6"/>
      <c r="K357" s="6"/>
      <c r="L357" s="9"/>
      <c r="M357" s="6"/>
      <c r="N357" s="6"/>
      <c r="O357" s="9"/>
      <c r="P357" s="6"/>
      <c r="Q357" s="6"/>
      <c r="R357" s="18"/>
      <c r="S357" s="9"/>
    </row>
    <row r="358" spans="1:19" ht="14.25" customHeight="1">
      <c r="A358" s="29"/>
      <c r="B358" s="6"/>
      <c r="C358" s="6"/>
      <c r="D358" s="6"/>
      <c r="E358" s="6"/>
      <c r="F358" s="6"/>
      <c r="G358" s="6"/>
      <c r="H358" s="6"/>
      <c r="I358" s="18"/>
      <c r="J358" s="6"/>
      <c r="K358" s="6"/>
      <c r="L358" s="9"/>
      <c r="M358" s="6"/>
      <c r="N358" s="6"/>
      <c r="O358" s="9"/>
      <c r="P358" s="6"/>
      <c r="Q358" s="6"/>
      <c r="R358" s="18"/>
      <c r="S358" s="9"/>
    </row>
    <row r="359" spans="1:19" ht="14.25" customHeight="1">
      <c r="A359" s="29"/>
      <c r="B359" s="6"/>
      <c r="C359" s="6"/>
      <c r="D359" s="6"/>
      <c r="E359" s="6"/>
      <c r="F359" s="6"/>
      <c r="G359" s="6"/>
      <c r="H359" s="6"/>
      <c r="I359" s="18"/>
      <c r="J359" s="6"/>
      <c r="K359" s="6"/>
      <c r="L359" s="9"/>
      <c r="M359" s="6"/>
      <c r="N359" s="6"/>
      <c r="O359" s="9"/>
      <c r="P359" s="6"/>
      <c r="Q359" s="6"/>
      <c r="R359" s="18"/>
      <c r="S359" s="9"/>
    </row>
    <row r="360" spans="1:19" ht="14.25" customHeight="1">
      <c r="A360" s="29"/>
      <c r="B360" s="6"/>
      <c r="C360" s="6"/>
      <c r="D360" s="6"/>
      <c r="E360" s="6"/>
      <c r="F360" s="6"/>
      <c r="G360" s="6"/>
      <c r="H360" s="6"/>
      <c r="I360" s="18"/>
      <c r="J360" s="6"/>
      <c r="K360" s="6"/>
      <c r="L360" s="9"/>
      <c r="M360" s="6"/>
      <c r="N360" s="6"/>
      <c r="O360" s="9"/>
      <c r="P360" s="6"/>
      <c r="Q360" s="6"/>
      <c r="R360" s="18"/>
      <c r="S360" s="9"/>
    </row>
    <row r="361" spans="1:19" ht="14.25" customHeight="1">
      <c r="A361" s="29"/>
      <c r="B361" s="6"/>
      <c r="C361" s="6"/>
      <c r="D361" s="6"/>
      <c r="E361" s="6"/>
      <c r="F361" s="6"/>
      <c r="G361" s="6"/>
      <c r="H361" s="6"/>
      <c r="I361" s="18"/>
      <c r="J361" s="6"/>
      <c r="K361" s="6"/>
      <c r="L361" s="9"/>
      <c r="M361" s="6"/>
      <c r="N361" s="6"/>
      <c r="O361" s="9"/>
      <c r="P361" s="6"/>
      <c r="Q361" s="6"/>
      <c r="R361" s="18"/>
      <c r="S361" s="9"/>
    </row>
    <row r="362" spans="1:19" ht="14.25" customHeight="1">
      <c r="A362" s="29"/>
      <c r="B362" s="6"/>
      <c r="C362" s="6"/>
      <c r="D362" s="6"/>
      <c r="E362" s="6"/>
      <c r="F362" s="6"/>
      <c r="G362" s="6"/>
      <c r="H362" s="6"/>
      <c r="I362" s="18"/>
      <c r="J362" s="6"/>
      <c r="K362" s="6"/>
      <c r="L362" s="9"/>
      <c r="M362" s="6"/>
      <c r="N362" s="6"/>
      <c r="O362" s="9"/>
      <c r="P362" s="6"/>
      <c r="Q362" s="6"/>
      <c r="R362" s="18"/>
      <c r="S362" s="9"/>
    </row>
    <row r="363" spans="1:19" ht="14.25" customHeight="1">
      <c r="A363" s="29"/>
      <c r="B363" s="6"/>
      <c r="C363" s="6"/>
      <c r="D363" s="6"/>
      <c r="E363" s="6"/>
      <c r="F363" s="6"/>
      <c r="G363" s="6"/>
      <c r="H363" s="6"/>
      <c r="I363" s="18"/>
      <c r="J363" s="6"/>
      <c r="K363" s="6"/>
      <c r="L363" s="9"/>
      <c r="M363" s="6"/>
      <c r="N363" s="6"/>
      <c r="O363" s="9"/>
      <c r="P363" s="6"/>
      <c r="Q363" s="6"/>
      <c r="R363" s="18"/>
      <c r="S363" s="9"/>
    </row>
    <row r="364" spans="1:19" ht="14.25" customHeight="1">
      <c r="A364" s="29"/>
      <c r="B364" s="6"/>
      <c r="C364" s="6"/>
      <c r="D364" s="6"/>
      <c r="E364" s="6"/>
      <c r="F364" s="6"/>
      <c r="G364" s="6"/>
      <c r="H364" s="6"/>
      <c r="I364" s="18"/>
      <c r="J364" s="6"/>
      <c r="K364" s="6"/>
      <c r="L364" s="9"/>
      <c r="M364" s="6"/>
      <c r="N364" s="6"/>
      <c r="O364" s="9"/>
      <c r="P364" s="6"/>
      <c r="Q364" s="6"/>
      <c r="R364" s="18"/>
      <c r="S364" s="9"/>
    </row>
    <row r="365" spans="1:19" ht="14.25" customHeight="1">
      <c r="A365" s="29"/>
      <c r="B365" s="6"/>
      <c r="C365" s="6"/>
      <c r="D365" s="6"/>
      <c r="E365" s="6"/>
      <c r="F365" s="6"/>
      <c r="G365" s="6"/>
      <c r="H365" s="6"/>
      <c r="I365" s="18"/>
      <c r="J365" s="6"/>
      <c r="K365" s="6"/>
      <c r="L365" s="9"/>
      <c r="M365" s="6"/>
      <c r="N365" s="6"/>
      <c r="O365" s="9"/>
      <c r="P365" s="6"/>
      <c r="Q365" s="6"/>
      <c r="R365" s="18"/>
      <c r="S365" s="9"/>
    </row>
    <row r="366" spans="1:19" ht="14.25" customHeight="1">
      <c r="A366" s="29"/>
      <c r="B366" s="6"/>
      <c r="C366" s="6"/>
      <c r="D366" s="6"/>
      <c r="E366" s="6"/>
      <c r="F366" s="6"/>
      <c r="G366" s="6"/>
      <c r="H366" s="6"/>
      <c r="I366" s="18"/>
      <c r="J366" s="6"/>
      <c r="K366" s="6"/>
      <c r="L366" s="9"/>
      <c r="M366" s="6"/>
      <c r="N366" s="6"/>
      <c r="O366" s="9"/>
      <c r="P366" s="6"/>
      <c r="Q366" s="6"/>
      <c r="R366" s="18"/>
      <c r="S366" s="9"/>
    </row>
    <row r="367" spans="1:19" ht="14.25" customHeight="1">
      <c r="A367" s="29"/>
      <c r="B367" s="6"/>
      <c r="C367" s="6"/>
      <c r="D367" s="6"/>
      <c r="E367" s="6"/>
      <c r="F367" s="6"/>
      <c r="G367" s="6"/>
      <c r="H367" s="6"/>
      <c r="I367" s="18"/>
      <c r="J367" s="6"/>
      <c r="K367" s="6"/>
      <c r="L367" s="9"/>
      <c r="M367" s="6"/>
      <c r="N367" s="6"/>
      <c r="O367" s="9"/>
      <c r="P367" s="6"/>
      <c r="Q367" s="6"/>
      <c r="R367" s="18"/>
      <c r="S367" s="9"/>
    </row>
    <row r="368" spans="1:19" ht="14.25" customHeight="1">
      <c r="A368" s="29"/>
      <c r="B368" s="6"/>
      <c r="C368" s="6"/>
      <c r="D368" s="6"/>
      <c r="E368" s="6"/>
      <c r="F368" s="6"/>
      <c r="G368" s="6"/>
      <c r="H368" s="6"/>
      <c r="I368" s="18"/>
      <c r="J368" s="6"/>
      <c r="K368" s="6"/>
      <c r="L368" s="9"/>
      <c r="M368" s="6"/>
      <c r="N368" s="6"/>
      <c r="O368" s="9"/>
      <c r="P368" s="6"/>
      <c r="Q368" s="6"/>
      <c r="R368" s="18"/>
      <c r="S368" s="9"/>
    </row>
    <row r="369" spans="1:19" ht="14.25" customHeight="1">
      <c r="A369" s="29"/>
      <c r="B369" s="6"/>
      <c r="C369" s="6"/>
      <c r="D369" s="6"/>
      <c r="E369" s="6"/>
      <c r="F369" s="6"/>
      <c r="G369" s="6"/>
      <c r="H369" s="6"/>
      <c r="I369" s="18"/>
      <c r="J369" s="6"/>
      <c r="K369" s="6"/>
      <c r="L369" s="9"/>
      <c r="M369" s="6"/>
      <c r="N369" s="6"/>
      <c r="O369" s="9"/>
      <c r="P369" s="6"/>
      <c r="Q369" s="6"/>
      <c r="R369" s="18"/>
      <c r="S369" s="9"/>
    </row>
    <row r="370" spans="1:19" ht="14.25" customHeight="1">
      <c r="A370" s="29"/>
      <c r="B370" s="6"/>
      <c r="C370" s="6"/>
      <c r="D370" s="6"/>
      <c r="E370" s="6"/>
      <c r="F370" s="6"/>
      <c r="G370" s="6"/>
      <c r="H370" s="6"/>
      <c r="I370" s="18"/>
      <c r="J370" s="6"/>
      <c r="K370" s="6"/>
      <c r="L370" s="9"/>
      <c r="M370" s="6"/>
      <c r="N370" s="6"/>
      <c r="O370" s="9"/>
      <c r="P370" s="6"/>
      <c r="Q370" s="6"/>
      <c r="R370" s="18"/>
      <c r="S370" s="9"/>
    </row>
    <row r="371" spans="1:19" ht="14.25" customHeight="1">
      <c r="A371" s="29"/>
      <c r="B371" s="6"/>
      <c r="C371" s="6"/>
      <c r="D371" s="6"/>
      <c r="E371" s="6"/>
      <c r="F371" s="6"/>
      <c r="G371" s="6"/>
      <c r="H371" s="6"/>
      <c r="I371" s="18"/>
      <c r="J371" s="6"/>
      <c r="K371" s="6"/>
      <c r="L371" s="9"/>
      <c r="M371" s="6"/>
      <c r="N371" s="6"/>
      <c r="O371" s="9"/>
      <c r="P371" s="6"/>
      <c r="Q371" s="6"/>
      <c r="R371" s="18"/>
      <c r="S371" s="9"/>
    </row>
    <row r="372" spans="1:19" ht="14.25" customHeight="1">
      <c r="A372" s="29"/>
      <c r="B372" s="6"/>
      <c r="C372" s="6"/>
      <c r="D372" s="6"/>
      <c r="E372" s="6"/>
      <c r="F372" s="6"/>
      <c r="G372" s="6"/>
      <c r="H372" s="6"/>
      <c r="I372" s="18"/>
      <c r="J372" s="6"/>
      <c r="K372" s="6"/>
      <c r="L372" s="9"/>
      <c r="M372" s="6"/>
      <c r="N372" s="6"/>
      <c r="O372" s="9"/>
      <c r="P372" s="6"/>
      <c r="Q372" s="6"/>
      <c r="R372" s="18"/>
      <c r="S372" s="9"/>
    </row>
    <row r="373" spans="1:19" ht="14.25" customHeight="1">
      <c r="A373" s="29"/>
      <c r="B373" s="6"/>
      <c r="C373" s="6"/>
      <c r="D373" s="6"/>
      <c r="E373" s="6"/>
      <c r="F373" s="6"/>
      <c r="G373" s="6"/>
      <c r="H373" s="6"/>
      <c r="I373" s="18"/>
      <c r="J373" s="6"/>
      <c r="K373" s="6"/>
      <c r="L373" s="9"/>
      <c r="M373" s="6"/>
      <c r="N373" s="6"/>
      <c r="O373" s="9"/>
      <c r="P373" s="6"/>
      <c r="Q373" s="6"/>
      <c r="R373" s="18"/>
      <c r="S373" s="9"/>
    </row>
    <row r="374" spans="1:19" ht="14.25" customHeight="1">
      <c r="A374" s="29"/>
      <c r="B374" s="6"/>
      <c r="C374" s="6"/>
      <c r="D374" s="6"/>
      <c r="E374" s="6"/>
      <c r="F374" s="6"/>
      <c r="G374" s="6"/>
      <c r="H374" s="6"/>
      <c r="I374" s="18"/>
      <c r="J374" s="6"/>
      <c r="K374" s="6"/>
      <c r="L374" s="9"/>
      <c r="M374" s="6"/>
      <c r="N374" s="6"/>
      <c r="O374" s="9"/>
      <c r="P374" s="6"/>
      <c r="Q374" s="6"/>
      <c r="R374" s="18"/>
      <c r="S374" s="9"/>
    </row>
    <row r="375" spans="1:19" ht="14.25" customHeight="1">
      <c r="A375" s="29"/>
      <c r="B375" s="6"/>
      <c r="C375" s="6"/>
      <c r="D375" s="6"/>
      <c r="E375" s="6"/>
      <c r="F375" s="6"/>
      <c r="G375" s="6"/>
      <c r="H375" s="6"/>
      <c r="I375" s="18"/>
      <c r="J375" s="6"/>
      <c r="K375" s="6"/>
      <c r="L375" s="9"/>
      <c r="M375" s="6"/>
      <c r="N375" s="6"/>
      <c r="O375" s="9"/>
      <c r="P375" s="6"/>
      <c r="Q375" s="6"/>
      <c r="R375" s="18"/>
      <c r="S375" s="9"/>
    </row>
    <row r="376" spans="1:19" ht="14.25" customHeight="1">
      <c r="A376" s="29"/>
      <c r="B376" s="6"/>
      <c r="C376" s="6"/>
      <c r="D376" s="6"/>
      <c r="E376" s="6"/>
      <c r="F376" s="6"/>
      <c r="G376" s="6"/>
      <c r="H376" s="6"/>
      <c r="I376" s="18"/>
      <c r="J376" s="6"/>
      <c r="K376" s="6"/>
      <c r="L376" s="9"/>
      <c r="M376" s="6"/>
      <c r="N376" s="6"/>
      <c r="O376" s="9"/>
      <c r="P376" s="6"/>
      <c r="Q376" s="6"/>
      <c r="R376" s="18"/>
      <c r="S376" s="9"/>
    </row>
    <row r="377" spans="1:19" ht="14.25" customHeight="1">
      <c r="A377" s="29"/>
      <c r="B377" s="6"/>
      <c r="C377" s="6"/>
      <c r="D377" s="6"/>
      <c r="E377" s="6"/>
      <c r="F377" s="6"/>
      <c r="G377" s="6"/>
      <c r="H377" s="6"/>
      <c r="I377" s="18"/>
      <c r="J377" s="6"/>
      <c r="K377" s="6"/>
      <c r="L377" s="9"/>
      <c r="M377" s="6"/>
      <c r="N377" s="6"/>
      <c r="O377" s="9"/>
      <c r="P377" s="6"/>
      <c r="Q377" s="6"/>
      <c r="R377" s="18"/>
      <c r="S377" s="9"/>
    </row>
    <row r="378" spans="1:19" ht="14.25" customHeight="1">
      <c r="A378" s="29"/>
      <c r="B378" s="6"/>
      <c r="C378" s="6"/>
      <c r="D378" s="6"/>
      <c r="E378" s="6"/>
      <c r="F378" s="6"/>
      <c r="G378" s="6"/>
      <c r="H378" s="6"/>
      <c r="I378" s="18"/>
      <c r="J378" s="6"/>
      <c r="K378" s="6"/>
      <c r="L378" s="9"/>
      <c r="M378" s="6"/>
      <c r="N378" s="6"/>
      <c r="O378" s="9"/>
      <c r="P378" s="6"/>
      <c r="Q378" s="6"/>
      <c r="R378" s="18"/>
      <c r="S378" s="9"/>
    </row>
    <row r="379" spans="1:19" ht="14.25" customHeight="1">
      <c r="A379" s="29"/>
      <c r="B379" s="6"/>
      <c r="C379" s="6"/>
      <c r="D379" s="6"/>
      <c r="E379" s="6"/>
      <c r="F379" s="6"/>
      <c r="G379" s="6"/>
      <c r="H379" s="6"/>
      <c r="I379" s="18"/>
      <c r="J379" s="6"/>
      <c r="K379" s="6"/>
      <c r="L379" s="9"/>
      <c r="M379" s="6"/>
      <c r="N379" s="6"/>
      <c r="O379" s="9"/>
      <c r="P379" s="6"/>
      <c r="Q379" s="6"/>
      <c r="R379" s="18"/>
      <c r="S379" s="9"/>
    </row>
    <row r="380" spans="1:19" ht="14.25" customHeight="1">
      <c r="A380" s="29"/>
      <c r="B380" s="6"/>
      <c r="C380" s="6"/>
      <c r="D380" s="6"/>
      <c r="E380" s="6"/>
      <c r="F380" s="6"/>
      <c r="G380" s="6"/>
      <c r="H380" s="6"/>
      <c r="I380" s="18"/>
      <c r="J380" s="6"/>
      <c r="K380" s="6"/>
      <c r="L380" s="9"/>
      <c r="M380" s="6"/>
      <c r="N380" s="6"/>
      <c r="O380" s="9"/>
      <c r="P380" s="6"/>
      <c r="Q380" s="6"/>
      <c r="R380" s="18"/>
      <c r="S380" s="9"/>
    </row>
    <row r="381" spans="1:19" ht="14.25" customHeight="1">
      <c r="A381" s="29"/>
      <c r="B381" s="6"/>
      <c r="C381" s="6"/>
      <c r="D381" s="6"/>
      <c r="E381" s="6"/>
      <c r="F381" s="6"/>
      <c r="G381" s="6"/>
      <c r="H381" s="6"/>
      <c r="I381" s="18"/>
      <c r="J381" s="6"/>
      <c r="K381" s="6"/>
      <c r="L381" s="9"/>
      <c r="M381" s="6"/>
      <c r="N381" s="6"/>
      <c r="O381" s="9"/>
      <c r="P381" s="6"/>
      <c r="Q381" s="6"/>
      <c r="R381" s="18"/>
      <c r="S381" s="9"/>
    </row>
    <row r="382" spans="1:19" ht="14.25" customHeight="1">
      <c r="A382" s="29"/>
      <c r="B382" s="6"/>
      <c r="C382" s="6"/>
      <c r="D382" s="6"/>
      <c r="E382" s="6"/>
      <c r="F382" s="6"/>
      <c r="G382" s="6"/>
      <c r="H382" s="6"/>
      <c r="I382" s="18"/>
      <c r="J382" s="6"/>
      <c r="K382" s="6"/>
      <c r="L382" s="9"/>
      <c r="M382" s="6"/>
      <c r="N382" s="6"/>
      <c r="O382" s="9"/>
      <c r="P382" s="6"/>
      <c r="Q382" s="6"/>
      <c r="R382" s="18"/>
      <c r="S382" s="9"/>
    </row>
    <row r="383" spans="1:19" ht="14.25" customHeight="1">
      <c r="A383" s="29"/>
      <c r="B383" s="6"/>
      <c r="C383" s="6"/>
      <c r="D383" s="6"/>
      <c r="E383" s="6"/>
      <c r="F383" s="6"/>
      <c r="G383" s="6"/>
      <c r="H383" s="6"/>
      <c r="I383" s="18"/>
      <c r="J383" s="6"/>
      <c r="K383" s="6"/>
      <c r="L383" s="9"/>
      <c r="M383" s="6"/>
      <c r="N383" s="6"/>
      <c r="O383" s="9"/>
      <c r="P383" s="6"/>
      <c r="Q383" s="6"/>
      <c r="R383" s="18"/>
      <c r="S383" s="9"/>
    </row>
    <row r="384" spans="1:19" ht="14.25" customHeight="1">
      <c r="A384" s="29"/>
      <c r="B384" s="6"/>
      <c r="C384" s="6"/>
      <c r="D384" s="6"/>
      <c r="E384" s="6"/>
      <c r="F384" s="6"/>
      <c r="G384" s="6"/>
      <c r="H384" s="6"/>
      <c r="I384" s="18"/>
      <c r="J384" s="6"/>
      <c r="K384" s="6"/>
      <c r="L384" s="9"/>
      <c r="M384" s="6"/>
      <c r="N384" s="6"/>
      <c r="O384" s="9"/>
      <c r="P384" s="6"/>
      <c r="Q384" s="6"/>
      <c r="R384" s="18"/>
      <c r="S384" s="9"/>
    </row>
    <row r="385" spans="1:19" ht="14.25" customHeight="1">
      <c r="A385" s="29"/>
      <c r="B385" s="6"/>
      <c r="C385" s="6"/>
      <c r="D385" s="6"/>
      <c r="E385" s="6"/>
      <c r="F385" s="6"/>
      <c r="G385" s="6"/>
      <c r="H385" s="6"/>
      <c r="I385" s="18"/>
      <c r="J385" s="6"/>
      <c r="K385" s="6"/>
      <c r="L385" s="9"/>
      <c r="M385" s="6"/>
      <c r="N385" s="6"/>
      <c r="O385" s="9"/>
      <c r="P385" s="6"/>
      <c r="Q385" s="6"/>
      <c r="R385" s="18"/>
      <c r="S385" s="9"/>
    </row>
    <row r="386" spans="1:19" ht="14.25" customHeight="1">
      <c r="A386" s="29"/>
      <c r="B386" s="6"/>
      <c r="C386" s="6"/>
      <c r="D386" s="6"/>
      <c r="E386" s="6"/>
      <c r="F386" s="6"/>
      <c r="G386" s="6"/>
      <c r="H386" s="6"/>
      <c r="I386" s="18"/>
      <c r="J386" s="6"/>
      <c r="K386" s="6"/>
      <c r="L386" s="9"/>
      <c r="M386" s="6"/>
      <c r="N386" s="6"/>
      <c r="O386" s="9"/>
      <c r="P386" s="6"/>
      <c r="Q386" s="6"/>
      <c r="R386" s="18"/>
      <c r="S386" s="9"/>
    </row>
    <row r="387" spans="1:19" ht="14.25" customHeight="1">
      <c r="A387" s="29"/>
      <c r="B387" s="6"/>
      <c r="C387" s="6"/>
      <c r="D387" s="6"/>
      <c r="E387" s="6"/>
      <c r="F387" s="6"/>
      <c r="G387" s="6"/>
      <c r="H387" s="6"/>
      <c r="I387" s="18"/>
      <c r="J387" s="6"/>
      <c r="K387" s="6"/>
      <c r="L387" s="9"/>
      <c r="M387" s="6"/>
      <c r="N387" s="6"/>
      <c r="O387" s="9"/>
      <c r="P387" s="6"/>
      <c r="Q387" s="6"/>
      <c r="R387" s="18"/>
      <c r="S387" s="9"/>
    </row>
    <row r="388" spans="1:19" ht="14.25" customHeight="1">
      <c r="A388" s="29"/>
      <c r="B388" s="6"/>
      <c r="C388" s="6"/>
      <c r="D388" s="6"/>
      <c r="E388" s="6"/>
      <c r="F388" s="6"/>
      <c r="G388" s="6"/>
      <c r="H388" s="6"/>
      <c r="I388" s="18"/>
      <c r="J388" s="6"/>
      <c r="K388" s="6"/>
      <c r="L388" s="9"/>
      <c r="M388" s="6"/>
      <c r="N388" s="6"/>
      <c r="O388" s="9"/>
      <c r="P388" s="6"/>
      <c r="Q388" s="6"/>
      <c r="R388" s="18"/>
      <c r="S388" s="9"/>
    </row>
    <row r="389" spans="1:19" ht="14.25" customHeight="1">
      <c r="A389" s="29"/>
      <c r="B389" s="6"/>
      <c r="C389" s="6"/>
      <c r="D389" s="6"/>
      <c r="E389" s="6"/>
      <c r="F389" s="6"/>
      <c r="G389" s="6"/>
      <c r="H389" s="6"/>
      <c r="I389" s="18"/>
      <c r="J389" s="6"/>
      <c r="K389" s="6"/>
      <c r="L389" s="9"/>
      <c r="M389" s="6"/>
      <c r="N389" s="6"/>
      <c r="O389" s="9"/>
      <c r="P389" s="6"/>
      <c r="Q389" s="6"/>
      <c r="R389" s="18"/>
      <c r="S389" s="9"/>
    </row>
    <row r="390" spans="1:19" ht="14.25" customHeight="1">
      <c r="A390" s="29"/>
      <c r="B390" s="6"/>
      <c r="C390" s="6"/>
      <c r="D390" s="6"/>
      <c r="E390" s="6"/>
      <c r="F390" s="6"/>
      <c r="G390" s="6"/>
      <c r="H390" s="6"/>
      <c r="I390" s="18"/>
      <c r="J390" s="6"/>
      <c r="K390" s="6"/>
      <c r="L390" s="9"/>
      <c r="M390" s="6"/>
      <c r="N390" s="6"/>
      <c r="O390" s="9"/>
      <c r="P390" s="6"/>
      <c r="Q390" s="6"/>
      <c r="R390" s="18"/>
      <c r="S390" s="9"/>
    </row>
    <row r="391" spans="1:19" ht="14.25" customHeight="1">
      <c r="A391" s="29"/>
      <c r="B391" s="6"/>
      <c r="C391" s="6"/>
      <c r="D391" s="6"/>
      <c r="E391" s="6"/>
      <c r="F391" s="6"/>
      <c r="G391" s="6"/>
      <c r="H391" s="6"/>
      <c r="I391" s="18"/>
      <c r="J391" s="6"/>
      <c r="K391" s="6"/>
      <c r="L391" s="9"/>
      <c r="M391" s="6"/>
      <c r="N391" s="6"/>
      <c r="O391" s="9"/>
      <c r="P391" s="6"/>
      <c r="Q391" s="6"/>
      <c r="R391" s="18"/>
      <c r="S391" s="9"/>
    </row>
    <row r="392" spans="1:19" ht="14.25" customHeight="1">
      <c r="A392" s="29"/>
      <c r="B392" s="6"/>
      <c r="C392" s="6"/>
      <c r="D392" s="6"/>
      <c r="E392" s="6"/>
      <c r="F392" s="6"/>
      <c r="G392" s="6"/>
      <c r="H392" s="6"/>
      <c r="I392" s="18"/>
      <c r="J392" s="6"/>
      <c r="K392" s="6"/>
      <c r="L392" s="9"/>
      <c r="M392" s="6"/>
      <c r="N392" s="6"/>
      <c r="O392" s="9"/>
      <c r="P392" s="6"/>
      <c r="Q392" s="6"/>
      <c r="R392" s="18"/>
      <c r="S392" s="9"/>
    </row>
    <row r="393" spans="1:19" ht="14.25" customHeight="1">
      <c r="A393" s="29"/>
      <c r="B393" s="6"/>
      <c r="C393" s="6"/>
      <c r="D393" s="6"/>
      <c r="E393" s="6"/>
      <c r="F393" s="6"/>
      <c r="G393" s="6"/>
      <c r="H393" s="6"/>
      <c r="I393" s="18"/>
      <c r="J393" s="6"/>
      <c r="K393" s="6"/>
      <c r="L393" s="9"/>
      <c r="M393" s="6"/>
      <c r="N393" s="6"/>
      <c r="O393" s="9"/>
      <c r="P393" s="6"/>
      <c r="Q393" s="6"/>
      <c r="R393" s="18"/>
      <c r="S393" s="9"/>
    </row>
    <row r="394" spans="1:19" ht="14.25" customHeight="1">
      <c r="A394" s="29"/>
      <c r="B394" s="6"/>
      <c r="C394" s="6"/>
      <c r="D394" s="6"/>
      <c r="E394" s="6"/>
      <c r="F394" s="6"/>
      <c r="G394" s="6"/>
      <c r="H394" s="6"/>
      <c r="I394" s="18"/>
      <c r="J394" s="6"/>
      <c r="K394" s="6"/>
      <c r="L394" s="9"/>
      <c r="M394" s="6"/>
      <c r="N394" s="6"/>
      <c r="O394" s="9"/>
      <c r="P394" s="6"/>
      <c r="Q394" s="6"/>
      <c r="R394" s="18"/>
      <c r="S394" s="9"/>
    </row>
    <row r="395" spans="1:19" ht="14.25" customHeight="1">
      <c r="A395" s="29"/>
      <c r="B395" s="6"/>
      <c r="C395" s="6"/>
      <c r="D395" s="6"/>
      <c r="E395" s="6"/>
      <c r="F395" s="6"/>
      <c r="G395" s="6"/>
      <c r="H395" s="6"/>
      <c r="I395" s="18"/>
      <c r="J395" s="6"/>
      <c r="K395" s="6"/>
      <c r="L395" s="9"/>
      <c r="M395" s="6"/>
      <c r="N395" s="6"/>
      <c r="O395" s="9"/>
      <c r="P395" s="6"/>
      <c r="Q395" s="6"/>
      <c r="R395" s="18"/>
      <c r="S395" s="9"/>
    </row>
    <row r="396" spans="1:19" ht="14.25" customHeight="1">
      <c r="A396" s="29"/>
      <c r="B396" s="6"/>
      <c r="C396" s="6"/>
      <c r="D396" s="6"/>
      <c r="E396" s="6"/>
      <c r="F396" s="6"/>
      <c r="G396" s="6"/>
      <c r="H396" s="6"/>
      <c r="I396" s="18"/>
      <c r="J396" s="6"/>
      <c r="K396" s="6"/>
      <c r="L396" s="9"/>
      <c r="M396" s="6"/>
      <c r="N396" s="6"/>
      <c r="O396" s="9"/>
      <c r="P396" s="6"/>
      <c r="Q396" s="6"/>
      <c r="R396" s="18"/>
      <c r="S396" s="9"/>
    </row>
    <row r="397" spans="1:19" ht="14.25" customHeight="1">
      <c r="A397" s="29"/>
      <c r="B397" s="6"/>
      <c r="C397" s="6"/>
      <c r="D397" s="6"/>
      <c r="E397" s="6"/>
      <c r="F397" s="6"/>
      <c r="G397" s="6"/>
      <c r="H397" s="6"/>
      <c r="I397" s="18"/>
      <c r="J397" s="6"/>
      <c r="K397" s="6"/>
      <c r="L397" s="9"/>
      <c r="M397" s="6"/>
      <c r="N397" s="6"/>
      <c r="O397" s="9"/>
      <c r="P397" s="6"/>
      <c r="Q397" s="6"/>
      <c r="R397" s="18"/>
      <c r="S397" s="9"/>
    </row>
    <row r="398" spans="1:19" ht="14.25" customHeight="1">
      <c r="A398" s="29"/>
      <c r="B398" s="6"/>
      <c r="C398" s="6"/>
      <c r="D398" s="6"/>
      <c r="E398" s="6"/>
      <c r="F398" s="6"/>
      <c r="G398" s="6"/>
      <c r="H398" s="6"/>
      <c r="I398" s="18"/>
      <c r="J398" s="6"/>
      <c r="K398" s="6"/>
      <c r="L398" s="9"/>
      <c r="M398" s="6"/>
      <c r="N398" s="6"/>
      <c r="O398" s="9"/>
      <c r="P398" s="6"/>
      <c r="Q398" s="6"/>
      <c r="R398" s="18"/>
      <c r="S398" s="9"/>
    </row>
    <row r="399" spans="1:19" ht="14.25" customHeight="1">
      <c r="A399" s="29"/>
      <c r="B399" s="6"/>
      <c r="C399" s="6"/>
      <c r="D399" s="6"/>
      <c r="E399" s="6"/>
      <c r="F399" s="6"/>
      <c r="G399" s="6"/>
      <c r="H399" s="6"/>
      <c r="I399" s="18"/>
      <c r="J399" s="6"/>
      <c r="K399" s="6"/>
      <c r="L399" s="9"/>
      <c r="M399" s="6"/>
      <c r="N399" s="6"/>
      <c r="O399" s="9"/>
      <c r="P399" s="6"/>
      <c r="Q399" s="6"/>
      <c r="R399" s="18"/>
      <c r="S399" s="9"/>
    </row>
    <row r="400" spans="1:19" ht="14.25" customHeight="1">
      <c r="A400" s="29"/>
      <c r="B400" s="6"/>
      <c r="C400" s="6"/>
      <c r="D400" s="6"/>
      <c r="E400" s="6"/>
      <c r="F400" s="6"/>
      <c r="G400" s="6"/>
      <c r="H400" s="6"/>
      <c r="I400" s="18"/>
      <c r="J400" s="6"/>
      <c r="K400" s="6"/>
      <c r="L400" s="9"/>
      <c r="M400" s="6"/>
      <c r="N400" s="6"/>
      <c r="O400" s="9"/>
      <c r="P400" s="6"/>
      <c r="Q400" s="6"/>
      <c r="R400" s="18"/>
      <c r="S400" s="9"/>
    </row>
    <row r="401" spans="1:19" ht="14.25" customHeight="1">
      <c r="A401" s="29"/>
      <c r="B401" s="6"/>
      <c r="C401" s="6"/>
      <c r="D401" s="6"/>
      <c r="E401" s="6"/>
      <c r="F401" s="6"/>
      <c r="G401" s="6"/>
      <c r="H401" s="6"/>
      <c r="I401" s="18"/>
      <c r="J401" s="6"/>
      <c r="K401" s="6"/>
      <c r="L401" s="9"/>
      <c r="M401" s="6"/>
      <c r="N401" s="6"/>
      <c r="O401" s="9"/>
      <c r="P401" s="6"/>
      <c r="Q401" s="6"/>
      <c r="R401" s="18"/>
      <c r="S401" s="9"/>
    </row>
    <row r="402" spans="1:19" ht="14.25" customHeight="1">
      <c r="A402" s="29"/>
      <c r="B402" s="6"/>
      <c r="C402" s="6"/>
      <c r="D402" s="6"/>
      <c r="E402" s="6"/>
      <c r="F402" s="6"/>
      <c r="G402" s="6"/>
      <c r="H402" s="6"/>
      <c r="I402" s="18"/>
      <c r="J402" s="6"/>
      <c r="K402" s="6"/>
      <c r="L402" s="9"/>
      <c r="M402" s="6"/>
      <c r="N402" s="6"/>
      <c r="O402" s="9"/>
      <c r="P402" s="6"/>
      <c r="Q402" s="6"/>
      <c r="R402" s="18"/>
      <c r="S402" s="9"/>
    </row>
    <row r="403" spans="1:19" ht="14.25" customHeight="1">
      <c r="A403" s="29"/>
      <c r="B403" s="6"/>
      <c r="C403" s="6"/>
      <c r="D403" s="6"/>
      <c r="E403" s="6"/>
      <c r="F403" s="6"/>
      <c r="G403" s="6"/>
      <c r="H403" s="6"/>
      <c r="I403" s="18"/>
      <c r="J403" s="6"/>
      <c r="K403" s="6"/>
      <c r="L403" s="9"/>
      <c r="M403" s="6"/>
      <c r="N403" s="6"/>
      <c r="O403" s="9"/>
      <c r="P403" s="6"/>
      <c r="Q403" s="6"/>
      <c r="R403" s="18"/>
      <c r="S403" s="9"/>
    </row>
    <row r="404" spans="1:19" ht="14.25" customHeight="1">
      <c r="A404" s="29"/>
      <c r="B404" s="6"/>
      <c r="C404" s="6"/>
      <c r="D404" s="6"/>
      <c r="E404" s="6"/>
      <c r="F404" s="6"/>
      <c r="G404" s="6"/>
      <c r="H404" s="6"/>
      <c r="I404" s="18"/>
      <c r="J404" s="6"/>
      <c r="K404" s="6"/>
      <c r="L404" s="9"/>
      <c r="M404" s="6"/>
      <c r="N404" s="6"/>
      <c r="O404" s="9"/>
      <c r="P404" s="6"/>
      <c r="Q404" s="6"/>
      <c r="R404" s="18"/>
      <c r="S404" s="9"/>
    </row>
    <row r="405" spans="1:19" ht="14.25" customHeight="1">
      <c r="A405" s="29"/>
      <c r="B405" s="6"/>
      <c r="C405" s="6"/>
      <c r="D405" s="6"/>
      <c r="E405" s="6"/>
      <c r="F405" s="6"/>
      <c r="G405" s="6"/>
      <c r="H405" s="6"/>
      <c r="I405" s="18"/>
      <c r="J405" s="6"/>
      <c r="K405" s="6"/>
      <c r="L405" s="9"/>
      <c r="M405" s="6"/>
      <c r="N405" s="6"/>
      <c r="O405" s="9"/>
      <c r="P405" s="6"/>
      <c r="Q405" s="6"/>
      <c r="R405" s="18"/>
      <c r="S405" s="9"/>
    </row>
    <row r="406" spans="1:19" ht="14.25" customHeight="1">
      <c r="A406" s="29"/>
      <c r="B406" s="6"/>
      <c r="C406" s="6"/>
      <c r="D406" s="6"/>
      <c r="E406" s="6"/>
      <c r="F406" s="6"/>
      <c r="G406" s="6"/>
      <c r="H406" s="6"/>
      <c r="I406" s="18"/>
      <c r="J406" s="6"/>
      <c r="K406" s="6"/>
      <c r="L406" s="9"/>
      <c r="M406" s="6"/>
      <c r="N406" s="6"/>
      <c r="O406" s="9"/>
      <c r="P406" s="6"/>
      <c r="Q406" s="6"/>
      <c r="R406" s="18"/>
      <c r="S406" s="9"/>
    </row>
    <row r="407" spans="1:19" ht="14.25" customHeight="1">
      <c r="A407" s="29"/>
      <c r="B407" s="6"/>
      <c r="C407" s="6"/>
      <c r="D407" s="6"/>
      <c r="E407" s="6"/>
      <c r="F407" s="6"/>
      <c r="G407" s="6"/>
      <c r="H407" s="6"/>
      <c r="I407" s="18"/>
      <c r="J407" s="6"/>
      <c r="K407" s="6"/>
      <c r="L407" s="9"/>
      <c r="M407" s="6"/>
      <c r="N407" s="6"/>
      <c r="O407" s="9"/>
      <c r="P407" s="6"/>
      <c r="Q407" s="6"/>
      <c r="R407" s="18"/>
      <c r="S407" s="9"/>
    </row>
    <row r="408" spans="1:19" ht="14.25" customHeight="1">
      <c r="A408" s="29"/>
      <c r="B408" s="6"/>
      <c r="C408" s="6"/>
      <c r="D408" s="6"/>
      <c r="E408" s="6"/>
      <c r="F408" s="6"/>
      <c r="G408" s="6"/>
      <c r="H408" s="6"/>
      <c r="I408" s="18"/>
      <c r="J408" s="6"/>
      <c r="K408" s="6"/>
      <c r="L408" s="9"/>
      <c r="M408" s="6"/>
      <c r="N408" s="6"/>
      <c r="O408" s="9"/>
      <c r="P408" s="6"/>
      <c r="Q408" s="6"/>
      <c r="R408" s="18"/>
      <c r="S408" s="9"/>
    </row>
    <row r="409" spans="1:19" ht="14.25" customHeight="1">
      <c r="A409" s="29"/>
      <c r="B409" s="6"/>
      <c r="C409" s="6"/>
      <c r="D409" s="6"/>
      <c r="E409" s="6"/>
      <c r="F409" s="6"/>
      <c r="G409" s="6"/>
      <c r="H409" s="6"/>
      <c r="I409" s="18"/>
      <c r="J409" s="6"/>
      <c r="K409" s="6"/>
      <c r="L409" s="9"/>
      <c r="M409" s="6"/>
      <c r="N409" s="6"/>
      <c r="O409" s="9"/>
      <c r="P409" s="6"/>
      <c r="Q409" s="6"/>
      <c r="R409" s="18"/>
      <c r="S409" s="9"/>
    </row>
    <row r="410" spans="1:19" ht="14.25" customHeight="1">
      <c r="A410" s="29"/>
      <c r="B410" s="6"/>
      <c r="C410" s="6"/>
      <c r="D410" s="6"/>
      <c r="E410" s="6"/>
      <c r="F410" s="6"/>
      <c r="G410" s="6"/>
      <c r="H410" s="6"/>
      <c r="I410" s="18"/>
      <c r="J410" s="6"/>
      <c r="K410" s="6"/>
      <c r="L410" s="9"/>
      <c r="M410" s="6"/>
      <c r="N410" s="6"/>
      <c r="O410" s="9"/>
      <c r="P410" s="6"/>
      <c r="Q410" s="6"/>
      <c r="R410" s="18"/>
      <c r="S410" s="9"/>
    </row>
    <row r="411" spans="1:19" ht="14.25" customHeight="1">
      <c r="A411" s="29"/>
      <c r="B411" s="6"/>
      <c r="C411" s="6"/>
      <c r="D411" s="6"/>
      <c r="E411" s="6"/>
      <c r="F411" s="6"/>
      <c r="G411" s="6"/>
      <c r="H411" s="6"/>
      <c r="I411" s="18"/>
      <c r="J411" s="6"/>
      <c r="K411" s="6"/>
      <c r="L411" s="9"/>
      <c r="M411" s="6"/>
      <c r="N411" s="6"/>
      <c r="O411" s="9"/>
      <c r="P411" s="6"/>
      <c r="Q411" s="6"/>
      <c r="R411" s="18"/>
      <c r="S411" s="9"/>
    </row>
    <row r="412" spans="1:19" ht="14.25" customHeight="1">
      <c r="A412" s="29"/>
      <c r="B412" s="6"/>
      <c r="C412" s="6"/>
      <c r="D412" s="6"/>
      <c r="E412" s="6"/>
      <c r="F412" s="6"/>
      <c r="G412" s="6"/>
      <c r="H412" s="6"/>
      <c r="I412" s="18"/>
      <c r="J412" s="6"/>
      <c r="K412" s="6"/>
      <c r="L412" s="9"/>
      <c r="M412" s="6"/>
      <c r="N412" s="6"/>
      <c r="O412" s="9"/>
      <c r="P412" s="6"/>
      <c r="Q412" s="6"/>
      <c r="R412" s="18"/>
      <c r="S412" s="9"/>
    </row>
    <row r="413" spans="1:19" ht="14.25" customHeight="1">
      <c r="A413" s="29"/>
      <c r="B413" s="6"/>
      <c r="C413" s="6"/>
      <c r="D413" s="6"/>
      <c r="E413" s="6"/>
      <c r="F413" s="6"/>
      <c r="G413" s="6"/>
      <c r="H413" s="6"/>
      <c r="I413" s="18"/>
      <c r="J413" s="6"/>
      <c r="K413" s="6"/>
      <c r="L413" s="9"/>
      <c r="M413" s="6"/>
      <c r="N413" s="6"/>
      <c r="O413" s="9"/>
      <c r="P413" s="6"/>
      <c r="Q413" s="6"/>
      <c r="R413" s="18"/>
      <c r="S413" s="9"/>
    </row>
    <row r="414" spans="1:19" ht="14.25" customHeight="1">
      <c r="A414" s="29"/>
      <c r="B414" s="6"/>
      <c r="C414" s="6"/>
      <c r="D414" s="6"/>
      <c r="E414" s="6"/>
      <c r="F414" s="6"/>
      <c r="G414" s="6"/>
      <c r="H414" s="6"/>
      <c r="I414" s="18"/>
      <c r="J414" s="6"/>
      <c r="K414" s="6"/>
      <c r="L414" s="9"/>
      <c r="M414" s="6"/>
      <c r="N414" s="6"/>
      <c r="O414" s="9"/>
      <c r="P414" s="6"/>
      <c r="Q414" s="6"/>
      <c r="R414" s="18"/>
      <c r="S414" s="9"/>
    </row>
    <row r="415" spans="1:19" ht="14.25" customHeight="1">
      <c r="A415" s="29"/>
      <c r="B415" s="6"/>
      <c r="C415" s="6"/>
      <c r="D415" s="6"/>
      <c r="E415" s="6"/>
      <c r="F415" s="6"/>
      <c r="G415" s="6"/>
      <c r="H415" s="6"/>
      <c r="I415" s="18"/>
      <c r="J415" s="6"/>
      <c r="K415" s="6"/>
      <c r="L415" s="9"/>
      <c r="M415" s="6"/>
      <c r="N415" s="6"/>
      <c r="O415" s="9"/>
      <c r="P415" s="6"/>
      <c r="Q415" s="6"/>
      <c r="R415" s="18"/>
      <c r="S415" s="9"/>
    </row>
    <row r="416" spans="1:19" ht="14.25" customHeight="1">
      <c r="A416" s="29"/>
      <c r="B416" s="6"/>
      <c r="C416" s="6"/>
      <c r="D416" s="6"/>
      <c r="E416" s="6"/>
      <c r="F416" s="6"/>
      <c r="G416" s="6"/>
      <c r="H416" s="6"/>
      <c r="I416" s="18"/>
      <c r="J416" s="6"/>
      <c r="K416" s="6"/>
      <c r="L416" s="9"/>
      <c r="M416" s="6"/>
      <c r="N416" s="6"/>
      <c r="O416" s="9"/>
      <c r="P416" s="6"/>
      <c r="Q416" s="6"/>
      <c r="R416" s="18"/>
      <c r="S416" s="9"/>
    </row>
    <row r="417" spans="1:19" ht="14.25" customHeight="1">
      <c r="A417" s="29"/>
      <c r="B417" s="6"/>
      <c r="C417" s="6"/>
      <c r="D417" s="6"/>
      <c r="E417" s="6"/>
      <c r="F417" s="6"/>
      <c r="G417" s="6"/>
      <c r="H417" s="6"/>
      <c r="I417" s="18"/>
      <c r="J417" s="6"/>
      <c r="K417" s="6"/>
      <c r="L417" s="9"/>
      <c r="M417" s="6"/>
      <c r="N417" s="6"/>
      <c r="O417" s="9"/>
      <c r="P417" s="6"/>
      <c r="Q417" s="6"/>
      <c r="R417" s="18"/>
      <c r="S417" s="9"/>
    </row>
    <row r="418" spans="1:19" ht="14.25" customHeight="1">
      <c r="A418" s="29"/>
      <c r="B418" s="6"/>
      <c r="C418" s="6"/>
      <c r="D418" s="6"/>
      <c r="E418" s="6"/>
      <c r="F418" s="6"/>
      <c r="G418" s="6"/>
      <c r="H418" s="6"/>
      <c r="I418" s="18"/>
      <c r="J418" s="6"/>
      <c r="K418" s="6"/>
      <c r="L418" s="9"/>
      <c r="M418" s="6"/>
      <c r="N418" s="6"/>
      <c r="O418" s="9"/>
      <c r="P418" s="6"/>
      <c r="Q418" s="6"/>
      <c r="R418" s="18"/>
      <c r="S418" s="9"/>
    </row>
    <row r="419" spans="1:19" ht="14.25" customHeight="1">
      <c r="A419" s="29"/>
      <c r="B419" s="6"/>
      <c r="C419" s="6"/>
      <c r="D419" s="6"/>
      <c r="E419" s="6"/>
      <c r="F419" s="6"/>
      <c r="G419" s="6"/>
      <c r="H419" s="6"/>
      <c r="I419" s="18"/>
      <c r="J419" s="6"/>
      <c r="K419" s="6"/>
      <c r="L419" s="9"/>
      <c r="M419" s="6"/>
      <c r="N419" s="6"/>
      <c r="O419" s="9"/>
      <c r="P419" s="6"/>
      <c r="Q419" s="6"/>
      <c r="R419" s="18"/>
      <c r="S419" s="9"/>
    </row>
    <row r="420" spans="1:19" ht="14.25" customHeight="1">
      <c r="A420" s="29"/>
      <c r="B420" s="6"/>
      <c r="C420" s="6"/>
      <c r="D420" s="6"/>
      <c r="E420" s="6"/>
      <c r="F420" s="6"/>
      <c r="G420" s="6"/>
      <c r="H420" s="6"/>
      <c r="I420" s="18"/>
      <c r="J420" s="6"/>
      <c r="K420" s="6"/>
      <c r="L420" s="9"/>
      <c r="M420" s="6"/>
      <c r="N420" s="6"/>
      <c r="O420" s="9"/>
      <c r="P420" s="6"/>
      <c r="Q420" s="6"/>
      <c r="R420" s="18"/>
      <c r="S420" s="9"/>
    </row>
    <row r="421" spans="1:19" ht="14.25" customHeight="1">
      <c r="A421" s="29"/>
      <c r="B421" s="6"/>
      <c r="C421" s="6"/>
      <c r="D421" s="6"/>
      <c r="E421" s="6"/>
      <c r="F421" s="6"/>
      <c r="G421" s="6"/>
      <c r="H421" s="6"/>
      <c r="I421" s="18"/>
      <c r="J421" s="6"/>
      <c r="K421" s="6"/>
      <c r="L421" s="9"/>
      <c r="M421" s="6"/>
      <c r="N421" s="6"/>
      <c r="O421" s="9"/>
      <c r="P421" s="6"/>
      <c r="Q421" s="6"/>
      <c r="R421" s="18"/>
      <c r="S421" s="9"/>
    </row>
    <row r="422" spans="1:19" ht="14.25" customHeight="1">
      <c r="A422" s="29"/>
      <c r="B422" s="6"/>
      <c r="C422" s="6"/>
      <c r="D422" s="6"/>
      <c r="E422" s="6"/>
      <c r="F422" s="6"/>
      <c r="G422" s="6"/>
      <c r="H422" s="6"/>
      <c r="I422" s="18"/>
      <c r="J422" s="6"/>
      <c r="K422" s="6"/>
      <c r="L422" s="9"/>
      <c r="M422" s="6"/>
      <c r="N422" s="6"/>
      <c r="O422" s="9"/>
      <c r="P422" s="6"/>
      <c r="Q422" s="6"/>
      <c r="R422" s="18"/>
      <c r="S422" s="9"/>
    </row>
    <row r="423" spans="1:19" ht="14.25" customHeight="1">
      <c r="A423" s="29"/>
      <c r="B423" s="6"/>
      <c r="C423" s="6"/>
      <c r="D423" s="6"/>
      <c r="E423" s="6"/>
      <c r="F423" s="6"/>
      <c r="G423" s="6"/>
      <c r="H423" s="6"/>
      <c r="I423" s="18"/>
      <c r="J423" s="6"/>
      <c r="K423" s="6"/>
      <c r="L423" s="9"/>
      <c r="M423" s="6"/>
      <c r="N423" s="6"/>
      <c r="O423" s="9"/>
      <c r="P423" s="6"/>
      <c r="Q423" s="6"/>
      <c r="R423" s="18"/>
      <c r="S423" s="9"/>
    </row>
    <row r="424" spans="1:19" ht="14.25" customHeight="1">
      <c r="A424" s="29"/>
      <c r="B424" s="6"/>
      <c r="C424" s="6"/>
      <c r="D424" s="6"/>
      <c r="E424" s="6"/>
      <c r="F424" s="6"/>
      <c r="G424" s="6"/>
      <c r="H424" s="6"/>
      <c r="I424" s="18"/>
      <c r="J424" s="6"/>
      <c r="K424" s="6"/>
      <c r="L424" s="9"/>
      <c r="M424" s="6"/>
      <c r="N424" s="6"/>
      <c r="O424" s="9"/>
      <c r="P424" s="6"/>
      <c r="Q424" s="6"/>
      <c r="R424" s="18"/>
      <c r="S424" s="9"/>
    </row>
    <row r="425" spans="1:19" ht="14.25" customHeight="1">
      <c r="A425" s="29"/>
      <c r="B425" s="6"/>
      <c r="C425" s="6"/>
      <c r="D425" s="6"/>
      <c r="E425" s="6"/>
      <c r="F425" s="6"/>
      <c r="G425" s="6"/>
      <c r="H425" s="6"/>
      <c r="I425" s="18"/>
      <c r="J425" s="6"/>
      <c r="K425" s="6"/>
      <c r="L425" s="9"/>
      <c r="M425" s="6"/>
      <c r="N425" s="6"/>
      <c r="O425" s="9"/>
      <c r="P425" s="6"/>
      <c r="Q425" s="6"/>
      <c r="R425" s="18"/>
      <c r="S425" s="9"/>
    </row>
    <row r="426" spans="1:19" ht="14.25" customHeight="1">
      <c r="A426" s="29"/>
      <c r="B426" s="6"/>
      <c r="C426" s="6"/>
      <c r="D426" s="6"/>
      <c r="E426" s="6"/>
      <c r="F426" s="6"/>
      <c r="G426" s="6"/>
      <c r="H426" s="6"/>
      <c r="I426" s="18"/>
      <c r="J426" s="6"/>
      <c r="K426" s="6"/>
      <c r="L426" s="9"/>
      <c r="M426" s="6"/>
      <c r="N426" s="6"/>
      <c r="O426" s="9"/>
      <c r="P426" s="6"/>
      <c r="Q426" s="6"/>
      <c r="R426" s="18"/>
      <c r="S426" s="9"/>
    </row>
    <row r="427" spans="1:19" ht="14.25" customHeight="1">
      <c r="A427" s="29"/>
      <c r="B427" s="6"/>
      <c r="C427" s="6"/>
      <c r="D427" s="6"/>
      <c r="E427" s="6"/>
      <c r="F427" s="6"/>
      <c r="G427" s="6"/>
      <c r="H427" s="6"/>
      <c r="I427" s="18"/>
      <c r="J427" s="6"/>
      <c r="K427" s="6"/>
      <c r="L427" s="9"/>
      <c r="M427" s="6"/>
      <c r="N427" s="6"/>
      <c r="O427" s="9"/>
      <c r="P427" s="6"/>
      <c r="Q427" s="6"/>
      <c r="R427" s="18"/>
      <c r="S427" s="9"/>
    </row>
    <row r="428" spans="1:19" ht="14.25" customHeight="1">
      <c r="A428" s="29"/>
      <c r="B428" s="6"/>
      <c r="C428" s="6"/>
      <c r="D428" s="6"/>
      <c r="E428" s="6"/>
      <c r="F428" s="6"/>
      <c r="G428" s="6"/>
      <c r="H428" s="6"/>
      <c r="I428" s="18"/>
      <c r="J428" s="6"/>
      <c r="K428" s="6"/>
      <c r="L428" s="9"/>
      <c r="M428" s="6"/>
      <c r="N428" s="6"/>
      <c r="O428" s="9"/>
      <c r="P428" s="6"/>
      <c r="Q428" s="6"/>
      <c r="R428" s="18"/>
      <c r="S428" s="9"/>
    </row>
    <row r="429" spans="1:19" ht="14.25" customHeight="1">
      <c r="A429" s="29"/>
      <c r="B429" s="6"/>
      <c r="C429" s="6"/>
      <c r="D429" s="6"/>
      <c r="E429" s="6"/>
      <c r="F429" s="6"/>
      <c r="G429" s="6"/>
      <c r="H429" s="6"/>
      <c r="I429" s="18"/>
      <c r="J429" s="6"/>
      <c r="K429" s="6"/>
      <c r="L429" s="9"/>
      <c r="M429" s="6"/>
      <c r="N429" s="6"/>
      <c r="O429" s="9"/>
      <c r="P429" s="6"/>
      <c r="Q429" s="6"/>
      <c r="R429" s="18"/>
      <c r="S429" s="9"/>
    </row>
    <row r="430" spans="1:19" ht="14.25" customHeight="1">
      <c r="A430" s="29"/>
      <c r="B430" s="6"/>
      <c r="C430" s="6"/>
      <c r="D430" s="6"/>
      <c r="E430" s="6"/>
      <c r="F430" s="6"/>
      <c r="G430" s="6"/>
      <c r="H430" s="6"/>
      <c r="I430" s="18"/>
      <c r="J430" s="6"/>
      <c r="K430" s="6"/>
      <c r="L430" s="9"/>
      <c r="M430" s="6"/>
      <c r="N430" s="6"/>
      <c r="O430" s="9"/>
      <c r="P430" s="6"/>
      <c r="Q430" s="6"/>
      <c r="R430" s="18"/>
      <c r="S430" s="9"/>
    </row>
    <row r="431" spans="1:19" ht="14.25" customHeight="1">
      <c r="A431" s="29"/>
      <c r="B431" s="6"/>
      <c r="C431" s="6"/>
      <c r="D431" s="6"/>
      <c r="E431" s="6"/>
      <c r="F431" s="6"/>
      <c r="G431" s="6"/>
      <c r="H431" s="6"/>
      <c r="I431" s="18"/>
      <c r="J431" s="6"/>
      <c r="K431" s="6"/>
      <c r="L431" s="9"/>
      <c r="M431" s="6"/>
      <c r="N431" s="6"/>
      <c r="O431" s="9"/>
      <c r="P431" s="6"/>
      <c r="Q431" s="6"/>
      <c r="R431" s="18"/>
      <c r="S431" s="9"/>
    </row>
    <row r="432" spans="1:19" ht="14.25" customHeight="1">
      <c r="A432" s="29"/>
      <c r="B432" s="6"/>
      <c r="C432" s="6"/>
      <c r="D432" s="6"/>
      <c r="E432" s="6"/>
      <c r="F432" s="6"/>
      <c r="G432" s="6"/>
      <c r="H432" s="6"/>
      <c r="I432" s="18"/>
      <c r="J432" s="6"/>
      <c r="K432" s="6"/>
      <c r="L432" s="9"/>
      <c r="M432" s="6"/>
      <c r="N432" s="6"/>
      <c r="O432" s="9"/>
      <c r="P432" s="6"/>
      <c r="Q432" s="6"/>
      <c r="R432" s="18"/>
      <c r="S432" s="9"/>
    </row>
    <row r="433" spans="1:19" ht="14.25" customHeight="1">
      <c r="A433" s="29"/>
      <c r="B433" s="6"/>
      <c r="C433" s="6"/>
      <c r="D433" s="6"/>
      <c r="E433" s="6"/>
      <c r="F433" s="6"/>
      <c r="G433" s="6"/>
      <c r="H433" s="6"/>
      <c r="I433" s="18"/>
      <c r="J433" s="6"/>
      <c r="K433" s="6"/>
      <c r="L433" s="9"/>
      <c r="M433" s="6"/>
      <c r="N433" s="6"/>
      <c r="O433" s="9"/>
      <c r="P433" s="6"/>
      <c r="Q433" s="6"/>
      <c r="R433" s="18"/>
      <c r="S433" s="9"/>
    </row>
    <row r="434" spans="1:19" ht="14.25" customHeight="1">
      <c r="A434" s="29"/>
      <c r="B434" s="6"/>
      <c r="C434" s="6"/>
      <c r="D434" s="6"/>
      <c r="E434" s="6"/>
      <c r="F434" s="6"/>
      <c r="G434" s="6"/>
      <c r="H434" s="6"/>
      <c r="I434" s="18"/>
      <c r="J434" s="6"/>
      <c r="K434" s="6"/>
      <c r="L434" s="9"/>
      <c r="M434" s="6"/>
      <c r="N434" s="6"/>
      <c r="O434" s="9"/>
      <c r="P434" s="6"/>
      <c r="Q434" s="6"/>
      <c r="R434" s="18"/>
      <c r="S434" s="9"/>
    </row>
    <row r="435" spans="1:19" ht="14.25" customHeight="1">
      <c r="A435" s="29"/>
      <c r="B435" s="6"/>
      <c r="C435" s="6"/>
      <c r="D435" s="6"/>
      <c r="E435" s="6"/>
      <c r="F435" s="6"/>
      <c r="G435" s="6"/>
      <c r="H435" s="6"/>
      <c r="I435" s="18"/>
      <c r="J435" s="6"/>
      <c r="K435" s="6"/>
      <c r="L435" s="9"/>
      <c r="M435" s="6"/>
      <c r="N435" s="6"/>
      <c r="O435" s="9"/>
      <c r="P435" s="6"/>
      <c r="Q435" s="6"/>
      <c r="R435" s="18"/>
      <c r="S435" s="9"/>
    </row>
    <row r="436" spans="1:19" ht="14.25" customHeight="1">
      <c r="A436" s="29"/>
      <c r="B436" s="6"/>
      <c r="C436" s="6"/>
      <c r="D436" s="6"/>
      <c r="E436" s="6"/>
      <c r="F436" s="6"/>
      <c r="G436" s="6"/>
      <c r="H436" s="6"/>
      <c r="I436" s="18"/>
      <c r="J436" s="6"/>
      <c r="K436" s="6"/>
      <c r="L436" s="9"/>
      <c r="M436" s="6"/>
      <c r="N436" s="6"/>
      <c r="O436" s="9"/>
      <c r="P436" s="6"/>
      <c r="Q436" s="6"/>
      <c r="R436" s="18"/>
      <c r="S436" s="9"/>
    </row>
    <row r="437" spans="1:19" ht="14.25" customHeight="1">
      <c r="A437" s="29"/>
      <c r="B437" s="6"/>
      <c r="C437" s="6"/>
      <c r="D437" s="6"/>
      <c r="E437" s="6"/>
      <c r="F437" s="6"/>
      <c r="G437" s="6"/>
      <c r="H437" s="6"/>
      <c r="I437" s="18"/>
      <c r="J437" s="6"/>
      <c r="K437" s="6"/>
      <c r="L437" s="9"/>
      <c r="M437" s="6"/>
      <c r="N437" s="6"/>
      <c r="O437" s="9"/>
      <c r="P437" s="6"/>
      <c r="Q437" s="6"/>
      <c r="R437" s="18"/>
      <c r="S437" s="9"/>
    </row>
    <row r="438" spans="1:19" ht="14.25" customHeight="1">
      <c r="A438" s="29"/>
      <c r="B438" s="6"/>
      <c r="C438" s="6"/>
      <c r="D438" s="6"/>
      <c r="E438" s="6"/>
      <c r="F438" s="6"/>
      <c r="G438" s="6"/>
      <c r="H438" s="6"/>
      <c r="I438" s="18"/>
      <c r="J438" s="6"/>
      <c r="K438" s="6"/>
      <c r="L438" s="9"/>
      <c r="M438" s="6"/>
      <c r="N438" s="6"/>
      <c r="O438" s="9"/>
      <c r="P438" s="6"/>
      <c r="Q438" s="6"/>
      <c r="R438" s="18"/>
      <c r="S438" s="9"/>
    </row>
    <row r="439" spans="1:19" ht="14.25" customHeight="1">
      <c r="A439" s="29"/>
      <c r="B439" s="6"/>
      <c r="C439" s="6"/>
      <c r="D439" s="6"/>
      <c r="E439" s="6"/>
      <c r="F439" s="6"/>
      <c r="G439" s="6"/>
      <c r="H439" s="6"/>
      <c r="I439" s="18"/>
      <c r="J439" s="6"/>
      <c r="K439" s="6"/>
      <c r="L439" s="9"/>
      <c r="M439" s="6"/>
      <c r="N439" s="6"/>
      <c r="O439" s="9"/>
      <c r="P439" s="6"/>
      <c r="Q439" s="6"/>
      <c r="R439" s="18"/>
      <c r="S439" s="9"/>
    </row>
    <row r="440" spans="1:19" ht="14.25" customHeight="1">
      <c r="A440" s="29"/>
      <c r="B440" s="6"/>
      <c r="C440" s="6"/>
      <c r="D440" s="6"/>
      <c r="E440" s="6"/>
      <c r="F440" s="6"/>
      <c r="G440" s="6"/>
      <c r="H440" s="6"/>
      <c r="I440" s="18"/>
      <c r="J440" s="6"/>
      <c r="K440" s="6"/>
      <c r="L440" s="9"/>
      <c r="M440" s="6"/>
      <c r="N440" s="6"/>
      <c r="O440" s="9"/>
      <c r="P440" s="6"/>
      <c r="Q440" s="6"/>
      <c r="R440" s="18"/>
      <c r="S440" s="9"/>
    </row>
    <row r="441" spans="1:19" ht="14.25" customHeight="1">
      <c r="A441" s="29"/>
      <c r="B441" s="6"/>
      <c r="C441" s="6"/>
      <c r="D441" s="6"/>
      <c r="E441" s="6"/>
      <c r="F441" s="6"/>
      <c r="G441" s="6"/>
      <c r="H441" s="6"/>
      <c r="I441" s="18"/>
      <c r="J441" s="6"/>
      <c r="K441" s="6"/>
      <c r="L441" s="9"/>
      <c r="M441" s="6"/>
      <c r="N441" s="6"/>
      <c r="O441" s="9"/>
      <c r="P441" s="6"/>
      <c r="Q441" s="6"/>
      <c r="R441" s="18"/>
      <c r="S441" s="9"/>
    </row>
    <row r="442" spans="1:19" ht="14.25" customHeight="1">
      <c r="A442" s="29"/>
      <c r="B442" s="6"/>
      <c r="C442" s="6"/>
      <c r="D442" s="6"/>
      <c r="E442" s="6"/>
      <c r="F442" s="6"/>
      <c r="G442" s="6"/>
      <c r="H442" s="6"/>
      <c r="I442" s="18"/>
      <c r="J442" s="6"/>
      <c r="K442" s="6"/>
      <c r="L442" s="9"/>
      <c r="M442" s="6"/>
      <c r="N442" s="6"/>
      <c r="O442" s="9"/>
      <c r="P442" s="6"/>
      <c r="Q442" s="6"/>
      <c r="R442" s="18"/>
      <c r="S442" s="9"/>
    </row>
    <row r="443" spans="1:19" ht="14.25" customHeight="1">
      <c r="A443" s="29"/>
      <c r="B443" s="6"/>
      <c r="C443" s="6"/>
      <c r="D443" s="6"/>
      <c r="E443" s="6"/>
      <c r="F443" s="6"/>
      <c r="G443" s="6"/>
      <c r="H443" s="6"/>
      <c r="I443" s="18"/>
      <c r="J443" s="6"/>
      <c r="K443" s="6"/>
      <c r="L443" s="9"/>
      <c r="M443" s="6"/>
      <c r="N443" s="6"/>
      <c r="O443" s="9"/>
      <c r="P443" s="6"/>
      <c r="Q443" s="6"/>
      <c r="R443" s="18"/>
      <c r="S443" s="9"/>
    </row>
    <row r="444" spans="1:19" ht="14.25" customHeight="1">
      <c r="A444" s="29"/>
      <c r="B444" s="6"/>
      <c r="C444" s="6"/>
      <c r="D444" s="6"/>
      <c r="E444" s="6"/>
      <c r="F444" s="6"/>
      <c r="G444" s="6"/>
      <c r="H444" s="6"/>
      <c r="I444" s="18"/>
      <c r="J444" s="6"/>
      <c r="K444" s="6"/>
      <c r="L444" s="9"/>
      <c r="M444" s="6"/>
      <c r="N444" s="6"/>
      <c r="O444" s="9"/>
      <c r="P444" s="6"/>
      <c r="Q444" s="6"/>
      <c r="R444" s="18"/>
      <c r="S444" s="9"/>
    </row>
    <row r="445" spans="1:19" ht="14.25" customHeight="1">
      <c r="A445" s="29"/>
      <c r="B445" s="6"/>
      <c r="C445" s="6"/>
      <c r="D445" s="6"/>
      <c r="E445" s="6"/>
      <c r="F445" s="6"/>
      <c r="G445" s="6"/>
      <c r="H445" s="6"/>
      <c r="I445" s="18"/>
      <c r="J445" s="6"/>
      <c r="K445" s="6"/>
      <c r="L445" s="9"/>
      <c r="M445" s="6"/>
      <c r="N445" s="6"/>
      <c r="O445" s="9"/>
      <c r="P445" s="6"/>
      <c r="Q445" s="6"/>
      <c r="R445" s="18"/>
      <c r="S445" s="9"/>
    </row>
    <row r="446" spans="1:19" ht="14.25" customHeight="1">
      <c r="A446" s="29"/>
      <c r="B446" s="6"/>
      <c r="C446" s="6"/>
      <c r="D446" s="6"/>
      <c r="E446" s="6"/>
      <c r="F446" s="6"/>
      <c r="G446" s="6"/>
      <c r="H446" s="6"/>
      <c r="I446" s="18"/>
      <c r="J446" s="6"/>
      <c r="K446" s="6"/>
      <c r="L446" s="9"/>
      <c r="M446" s="6"/>
      <c r="N446" s="6"/>
      <c r="O446" s="9"/>
      <c r="P446" s="6"/>
      <c r="Q446" s="6"/>
      <c r="R446" s="18"/>
      <c r="S446" s="9"/>
    </row>
    <row r="447" spans="1:19" ht="14.25" customHeight="1">
      <c r="A447" s="29"/>
      <c r="B447" s="6"/>
      <c r="C447" s="6"/>
      <c r="D447" s="6"/>
      <c r="E447" s="6"/>
      <c r="F447" s="6"/>
      <c r="G447" s="6"/>
      <c r="H447" s="6"/>
      <c r="I447" s="18"/>
      <c r="J447" s="6"/>
      <c r="K447" s="6"/>
      <c r="L447" s="9"/>
      <c r="M447" s="6"/>
      <c r="N447" s="6"/>
      <c r="O447" s="9"/>
      <c r="P447" s="6"/>
      <c r="Q447" s="6"/>
      <c r="R447" s="18"/>
      <c r="S447" s="9"/>
    </row>
    <row r="448" spans="1:19" ht="14.25" customHeight="1">
      <c r="A448" s="29"/>
      <c r="B448" s="6"/>
      <c r="C448" s="6"/>
      <c r="D448" s="6"/>
      <c r="E448" s="6"/>
      <c r="F448" s="6"/>
      <c r="G448" s="6"/>
      <c r="H448" s="6"/>
      <c r="I448" s="18"/>
      <c r="J448" s="6"/>
      <c r="K448" s="6"/>
      <c r="L448" s="9"/>
      <c r="M448" s="6"/>
      <c r="N448" s="6"/>
      <c r="O448" s="9"/>
      <c r="P448" s="6"/>
      <c r="Q448" s="6"/>
      <c r="R448" s="18"/>
      <c r="S448" s="9"/>
    </row>
    <row r="449" spans="1:19" ht="14.25" customHeight="1">
      <c r="A449" s="29"/>
      <c r="B449" s="6"/>
      <c r="C449" s="6"/>
      <c r="D449" s="6"/>
      <c r="E449" s="6"/>
      <c r="F449" s="6"/>
      <c r="G449" s="6"/>
      <c r="H449" s="6"/>
      <c r="I449" s="18"/>
      <c r="J449" s="6"/>
      <c r="K449" s="6"/>
      <c r="L449" s="9"/>
      <c r="M449" s="6"/>
      <c r="N449" s="6"/>
      <c r="O449" s="9"/>
      <c r="P449" s="6"/>
      <c r="Q449" s="6"/>
      <c r="R449" s="18"/>
      <c r="S449" s="9"/>
    </row>
    <row r="450" spans="1:19" ht="14.25" customHeight="1">
      <c r="A450" s="29"/>
      <c r="B450" s="6"/>
      <c r="C450" s="6"/>
      <c r="D450" s="6"/>
      <c r="E450" s="6"/>
      <c r="F450" s="6"/>
      <c r="G450" s="6"/>
      <c r="H450" s="6"/>
      <c r="I450" s="18"/>
      <c r="J450" s="6"/>
      <c r="K450" s="6"/>
      <c r="L450" s="9"/>
      <c r="M450" s="6"/>
      <c r="N450" s="6"/>
      <c r="O450" s="9"/>
      <c r="P450" s="6"/>
      <c r="Q450" s="6"/>
      <c r="R450" s="18"/>
      <c r="S450" s="9"/>
    </row>
    <row r="451" spans="1:19" ht="14.25" customHeight="1">
      <c r="A451" s="29"/>
      <c r="B451" s="6"/>
      <c r="C451" s="6"/>
      <c r="D451" s="6"/>
      <c r="E451" s="6"/>
      <c r="F451" s="6"/>
      <c r="G451" s="6"/>
      <c r="H451" s="6"/>
      <c r="I451" s="18"/>
      <c r="J451" s="6"/>
      <c r="K451" s="6"/>
      <c r="L451" s="9"/>
      <c r="M451" s="6"/>
      <c r="N451" s="6"/>
      <c r="O451" s="9"/>
      <c r="P451" s="6"/>
      <c r="Q451" s="6"/>
      <c r="R451" s="18"/>
      <c r="S451" s="9"/>
    </row>
    <row r="452" spans="1:19" ht="14.25" customHeight="1">
      <c r="A452" s="29"/>
      <c r="B452" s="6"/>
      <c r="C452" s="6"/>
      <c r="D452" s="6"/>
      <c r="E452" s="6"/>
      <c r="F452" s="6"/>
      <c r="G452" s="6"/>
      <c r="H452" s="6"/>
      <c r="I452" s="18"/>
      <c r="J452" s="6"/>
      <c r="K452" s="6"/>
      <c r="L452" s="9"/>
      <c r="M452" s="6"/>
      <c r="N452" s="6"/>
      <c r="O452" s="9"/>
      <c r="P452" s="6"/>
      <c r="Q452" s="6"/>
      <c r="R452" s="18"/>
      <c r="S452" s="9"/>
    </row>
    <row r="453" spans="1:19" ht="14.25" customHeight="1">
      <c r="A453" s="29"/>
      <c r="B453" s="6"/>
      <c r="C453" s="6"/>
      <c r="D453" s="6"/>
      <c r="E453" s="6"/>
      <c r="F453" s="6"/>
      <c r="G453" s="6"/>
      <c r="H453" s="6"/>
      <c r="I453" s="18"/>
      <c r="J453" s="6"/>
      <c r="K453" s="6"/>
      <c r="L453" s="9"/>
      <c r="M453" s="6"/>
      <c r="N453" s="6"/>
      <c r="O453" s="9"/>
      <c r="P453" s="6"/>
      <c r="Q453" s="6"/>
      <c r="R453" s="18"/>
      <c r="S453" s="9"/>
    </row>
    <row r="454" spans="1:19" ht="14.25" customHeight="1">
      <c r="A454" s="29"/>
      <c r="B454" s="6"/>
      <c r="C454" s="6"/>
      <c r="D454" s="6"/>
      <c r="E454" s="6"/>
      <c r="F454" s="6"/>
      <c r="G454" s="6"/>
      <c r="H454" s="6"/>
      <c r="I454" s="18"/>
      <c r="J454" s="6"/>
      <c r="K454" s="6"/>
      <c r="L454" s="9"/>
      <c r="M454" s="6"/>
      <c r="N454" s="6"/>
      <c r="O454" s="9"/>
      <c r="P454" s="6"/>
      <c r="Q454" s="6"/>
      <c r="R454" s="18"/>
      <c r="S454" s="9"/>
    </row>
    <row r="455" spans="1:19" ht="14.25" customHeight="1">
      <c r="A455" s="29"/>
      <c r="B455" s="6"/>
      <c r="C455" s="6"/>
      <c r="D455" s="6"/>
      <c r="E455" s="6"/>
      <c r="F455" s="6"/>
      <c r="G455" s="6"/>
      <c r="H455" s="6"/>
      <c r="I455" s="18"/>
      <c r="J455" s="6"/>
      <c r="K455" s="6"/>
      <c r="L455" s="9"/>
      <c r="M455" s="6"/>
      <c r="N455" s="6"/>
      <c r="O455" s="9"/>
      <c r="P455" s="6"/>
      <c r="Q455" s="6"/>
      <c r="R455" s="18"/>
      <c r="S455" s="9"/>
    </row>
    <row r="456" spans="1:19" ht="14.25" customHeight="1">
      <c r="A456" s="29"/>
      <c r="B456" s="6"/>
      <c r="C456" s="6"/>
      <c r="D456" s="6"/>
      <c r="E456" s="6"/>
      <c r="F456" s="6"/>
      <c r="G456" s="6"/>
      <c r="H456" s="6"/>
      <c r="I456" s="18"/>
      <c r="J456" s="6"/>
      <c r="K456" s="6"/>
      <c r="L456" s="9"/>
      <c r="M456" s="6"/>
      <c r="N456" s="6"/>
      <c r="O456" s="9"/>
      <c r="P456" s="6"/>
      <c r="Q456" s="6"/>
      <c r="R456" s="18"/>
      <c r="S456" s="9"/>
    </row>
    <row r="457" spans="1:19" ht="14.25" customHeight="1">
      <c r="A457" s="29"/>
      <c r="B457" s="6"/>
      <c r="C457" s="6"/>
      <c r="D457" s="6"/>
      <c r="E457" s="6"/>
      <c r="F457" s="6"/>
      <c r="G457" s="6"/>
      <c r="H457" s="6"/>
      <c r="I457" s="18"/>
      <c r="J457" s="6"/>
      <c r="K457" s="6"/>
      <c r="L457" s="9"/>
      <c r="M457" s="6"/>
      <c r="N457" s="6"/>
      <c r="O457" s="9"/>
      <c r="P457" s="6"/>
      <c r="Q457" s="6"/>
      <c r="R457" s="18"/>
      <c r="S457" s="9"/>
    </row>
    <row r="458" spans="1:19" ht="14.25" customHeight="1">
      <c r="A458" s="29"/>
      <c r="B458" s="6"/>
      <c r="C458" s="6"/>
      <c r="D458" s="6"/>
      <c r="E458" s="6"/>
      <c r="F458" s="6"/>
      <c r="G458" s="6"/>
      <c r="H458" s="6"/>
      <c r="I458" s="18"/>
      <c r="J458" s="6"/>
      <c r="K458" s="6"/>
      <c r="L458" s="9"/>
      <c r="M458" s="6"/>
      <c r="N458" s="6"/>
      <c r="O458" s="9"/>
      <c r="P458" s="6"/>
      <c r="Q458" s="6"/>
      <c r="R458" s="18"/>
      <c r="S458" s="9"/>
    </row>
    <row r="459" spans="1:19" ht="14.25" customHeight="1">
      <c r="A459" s="29"/>
      <c r="B459" s="6"/>
      <c r="C459" s="6"/>
      <c r="D459" s="6"/>
      <c r="E459" s="6"/>
      <c r="F459" s="6"/>
      <c r="G459" s="6"/>
      <c r="H459" s="6"/>
      <c r="I459" s="18"/>
      <c r="J459" s="6"/>
      <c r="K459" s="6"/>
      <c r="L459" s="9"/>
      <c r="M459" s="6"/>
      <c r="N459" s="6"/>
      <c r="O459" s="9"/>
      <c r="P459" s="6"/>
      <c r="Q459" s="6"/>
      <c r="R459" s="18"/>
      <c r="S459" s="9"/>
    </row>
    <row r="460" spans="1:19" ht="14.25" customHeight="1">
      <c r="A460" s="29"/>
      <c r="B460" s="6"/>
      <c r="C460" s="6"/>
      <c r="D460" s="6"/>
      <c r="E460" s="6"/>
      <c r="F460" s="6"/>
      <c r="G460" s="6"/>
      <c r="H460" s="6"/>
      <c r="I460" s="18"/>
      <c r="J460" s="6"/>
      <c r="K460" s="6"/>
      <c r="L460" s="9"/>
      <c r="M460" s="6"/>
      <c r="N460" s="6"/>
      <c r="O460" s="9"/>
      <c r="P460" s="6"/>
      <c r="Q460" s="6"/>
      <c r="R460" s="18"/>
      <c r="S460" s="9"/>
    </row>
    <row r="461" spans="1:19" ht="14.25" customHeight="1">
      <c r="A461" s="29"/>
      <c r="B461" s="6"/>
      <c r="C461" s="6"/>
      <c r="D461" s="6"/>
      <c r="E461" s="6"/>
      <c r="F461" s="6"/>
      <c r="G461" s="6"/>
      <c r="H461" s="6"/>
      <c r="I461" s="18"/>
      <c r="J461" s="6"/>
      <c r="K461" s="6"/>
      <c r="L461" s="9"/>
      <c r="M461" s="6"/>
      <c r="N461" s="6"/>
      <c r="O461" s="9"/>
      <c r="P461" s="6"/>
      <c r="Q461" s="6"/>
      <c r="R461" s="18"/>
      <c r="S461" s="9"/>
    </row>
    <row r="462" spans="1:19" ht="14.25" customHeight="1">
      <c r="A462" s="29"/>
      <c r="B462" s="6"/>
      <c r="C462" s="6"/>
      <c r="D462" s="6"/>
      <c r="E462" s="6"/>
      <c r="F462" s="6"/>
      <c r="G462" s="6"/>
      <c r="H462" s="6"/>
      <c r="I462" s="18"/>
      <c r="J462" s="6"/>
      <c r="K462" s="6"/>
      <c r="L462" s="9"/>
      <c r="M462" s="6"/>
      <c r="N462" s="6"/>
      <c r="O462" s="9"/>
      <c r="P462" s="6"/>
      <c r="Q462" s="6"/>
      <c r="R462" s="18"/>
      <c r="S462" s="9"/>
    </row>
    <row r="463" spans="1:19" ht="14.25" customHeight="1">
      <c r="A463" s="29"/>
      <c r="B463" s="6"/>
      <c r="C463" s="6"/>
      <c r="D463" s="6"/>
      <c r="E463" s="6"/>
      <c r="F463" s="6"/>
      <c r="G463" s="6"/>
      <c r="H463" s="6"/>
      <c r="I463" s="18"/>
      <c r="J463" s="6"/>
      <c r="K463" s="6"/>
      <c r="L463" s="9"/>
      <c r="M463" s="6"/>
      <c r="N463" s="6"/>
      <c r="O463" s="9"/>
      <c r="P463" s="6"/>
      <c r="Q463" s="6"/>
      <c r="R463" s="18"/>
      <c r="S463" s="9"/>
    </row>
    <row r="464" spans="1:19" ht="14.25" customHeight="1">
      <c r="A464" s="29"/>
      <c r="B464" s="6"/>
      <c r="C464" s="6"/>
      <c r="D464" s="6"/>
      <c r="E464" s="6"/>
      <c r="F464" s="6"/>
      <c r="G464" s="6"/>
      <c r="H464" s="6"/>
      <c r="I464" s="18"/>
      <c r="J464" s="6"/>
      <c r="K464" s="6"/>
      <c r="L464" s="9"/>
      <c r="M464" s="6"/>
      <c r="N464" s="6"/>
      <c r="O464" s="9"/>
      <c r="P464" s="6"/>
      <c r="Q464" s="6"/>
      <c r="R464" s="18"/>
      <c r="S464" s="9"/>
    </row>
    <row r="465" spans="1:19" ht="14.25" customHeight="1">
      <c r="A465" s="29"/>
      <c r="B465" s="6"/>
      <c r="C465" s="6"/>
      <c r="D465" s="6"/>
      <c r="E465" s="6"/>
      <c r="F465" s="6"/>
      <c r="G465" s="6"/>
      <c r="H465" s="6"/>
      <c r="I465" s="18"/>
      <c r="J465" s="6"/>
      <c r="K465" s="6"/>
      <c r="L465" s="9"/>
      <c r="M465" s="6"/>
      <c r="N465" s="6"/>
      <c r="O465" s="9"/>
      <c r="P465" s="6"/>
      <c r="Q465" s="6"/>
      <c r="R465" s="18"/>
      <c r="S465" s="9"/>
    </row>
    <row r="466" spans="1:19" ht="14.25" customHeight="1">
      <c r="A466" s="29"/>
      <c r="B466" s="6"/>
      <c r="C466" s="6"/>
      <c r="D466" s="6"/>
      <c r="E466" s="6"/>
      <c r="F466" s="6"/>
      <c r="G466" s="6"/>
      <c r="H466" s="6"/>
      <c r="I466" s="18"/>
      <c r="J466" s="6"/>
      <c r="K466" s="6"/>
      <c r="L466" s="9"/>
      <c r="M466" s="6"/>
      <c r="N466" s="6"/>
      <c r="O466" s="9"/>
      <c r="P466" s="6"/>
      <c r="Q466" s="6"/>
      <c r="R466" s="18"/>
      <c r="S466" s="9"/>
    </row>
    <row r="467" spans="1:19" ht="14.25" customHeight="1">
      <c r="A467" s="29"/>
      <c r="B467" s="6"/>
      <c r="C467" s="6"/>
      <c r="D467" s="6"/>
      <c r="E467" s="6"/>
      <c r="F467" s="6"/>
      <c r="G467" s="6"/>
      <c r="H467" s="6"/>
      <c r="I467" s="18"/>
      <c r="J467" s="6"/>
      <c r="K467" s="6"/>
      <c r="L467" s="9"/>
      <c r="M467" s="6"/>
      <c r="N467" s="6"/>
      <c r="O467" s="9"/>
      <c r="P467" s="6"/>
      <c r="Q467" s="6"/>
      <c r="R467" s="18"/>
      <c r="S467" s="9"/>
    </row>
    <row r="468" spans="1:19" ht="14.25" customHeight="1">
      <c r="A468" s="29"/>
      <c r="B468" s="6"/>
      <c r="C468" s="6"/>
      <c r="D468" s="6"/>
      <c r="E468" s="6"/>
      <c r="F468" s="6"/>
      <c r="G468" s="6"/>
      <c r="H468" s="6"/>
      <c r="I468" s="18"/>
      <c r="J468" s="6"/>
      <c r="K468" s="6"/>
      <c r="L468" s="9"/>
      <c r="M468" s="6"/>
      <c r="N468" s="6"/>
      <c r="O468" s="9"/>
      <c r="P468" s="6"/>
      <c r="Q468" s="6"/>
      <c r="R468" s="18"/>
      <c r="S468" s="9"/>
    </row>
    <row r="469" spans="1:19" ht="14.25" customHeight="1">
      <c r="A469" s="29"/>
      <c r="B469" s="6"/>
      <c r="C469" s="6"/>
      <c r="D469" s="6"/>
      <c r="E469" s="6"/>
      <c r="F469" s="6"/>
      <c r="G469" s="6"/>
      <c r="H469" s="6"/>
      <c r="I469" s="18"/>
      <c r="J469" s="6"/>
      <c r="K469" s="6"/>
      <c r="L469" s="9"/>
      <c r="M469" s="6"/>
      <c r="N469" s="6"/>
      <c r="O469" s="9"/>
      <c r="P469" s="6"/>
      <c r="Q469" s="6"/>
      <c r="R469" s="18"/>
      <c r="S469" s="9"/>
    </row>
    <row r="470" spans="1:19" ht="14.25" customHeight="1">
      <c r="A470" s="29"/>
      <c r="B470" s="6"/>
      <c r="C470" s="6"/>
      <c r="D470" s="6"/>
      <c r="E470" s="6"/>
      <c r="F470" s="6"/>
      <c r="G470" s="6"/>
      <c r="H470" s="6"/>
      <c r="I470" s="18"/>
      <c r="J470" s="6"/>
      <c r="K470" s="6"/>
      <c r="L470" s="9"/>
      <c r="M470" s="6"/>
      <c r="N470" s="6"/>
      <c r="O470" s="9"/>
      <c r="P470" s="6"/>
      <c r="Q470" s="6"/>
      <c r="R470" s="18"/>
      <c r="S470" s="9"/>
    </row>
    <row r="471" spans="1:19" ht="14.25" customHeight="1">
      <c r="A471" s="29"/>
      <c r="B471" s="6"/>
      <c r="C471" s="6"/>
      <c r="D471" s="6"/>
      <c r="E471" s="6"/>
      <c r="F471" s="6"/>
      <c r="G471" s="6"/>
      <c r="H471" s="6"/>
      <c r="I471" s="18"/>
      <c r="J471" s="6"/>
      <c r="K471" s="6"/>
      <c r="L471" s="9"/>
      <c r="M471" s="6"/>
      <c r="N471" s="6"/>
      <c r="O471" s="9"/>
      <c r="P471" s="6"/>
      <c r="Q471" s="6"/>
      <c r="R471" s="18"/>
      <c r="S471" s="9"/>
    </row>
    <row r="472" spans="1:19" ht="14.25" customHeight="1">
      <c r="A472" s="29"/>
      <c r="B472" s="6"/>
      <c r="C472" s="6"/>
      <c r="D472" s="6"/>
      <c r="E472" s="6"/>
      <c r="F472" s="6"/>
      <c r="G472" s="6"/>
      <c r="H472" s="6"/>
      <c r="I472" s="18"/>
      <c r="J472" s="6"/>
      <c r="K472" s="6"/>
      <c r="L472" s="9"/>
      <c r="M472" s="6"/>
      <c r="N472" s="6"/>
      <c r="O472" s="9"/>
      <c r="P472" s="6"/>
      <c r="Q472" s="6"/>
      <c r="R472" s="18"/>
      <c r="S472" s="9"/>
    </row>
    <row r="473" spans="1:19" ht="14.25" customHeight="1">
      <c r="A473" s="29"/>
      <c r="B473" s="6"/>
      <c r="C473" s="6"/>
      <c r="D473" s="6"/>
      <c r="E473" s="6"/>
      <c r="F473" s="6"/>
      <c r="G473" s="6"/>
      <c r="H473" s="6"/>
      <c r="I473" s="18"/>
      <c r="J473" s="6"/>
      <c r="K473" s="6"/>
      <c r="L473" s="9"/>
      <c r="M473" s="6"/>
      <c r="N473" s="6"/>
      <c r="O473" s="9"/>
      <c r="P473" s="6"/>
      <c r="Q473" s="6"/>
      <c r="R473" s="18"/>
      <c r="S473" s="9"/>
    </row>
    <row r="474" spans="1:19" ht="14.25" customHeight="1">
      <c r="A474" s="5"/>
    </row>
    <row r="475" spans="1:19" ht="14.25" customHeight="1">
      <c r="A475" s="5"/>
    </row>
    <row r="476" spans="1:19" ht="14.25" customHeight="1">
      <c r="A476" s="5"/>
    </row>
    <row r="477" spans="1:19" ht="14.25" customHeight="1">
      <c r="A477" s="5"/>
    </row>
    <row r="478" spans="1:19" ht="14.25" customHeight="1">
      <c r="A478" s="5"/>
    </row>
    <row r="479" spans="1:19" ht="14.25" customHeight="1">
      <c r="A479" s="5"/>
    </row>
    <row r="480" spans="1:19" ht="14.25" customHeight="1">
      <c r="A480" s="5"/>
    </row>
    <row r="481" spans="1:1" ht="14.25" customHeight="1">
      <c r="A481" s="5"/>
    </row>
    <row r="482" spans="1:1" ht="14.25" customHeight="1">
      <c r="A482" s="5"/>
    </row>
    <row r="483" spans="1:1" ht="14.25" customHeight="1">
      <c r="A483" s="5"/>
    </row>
    <row r="484" spans="1:1" ht="14.25" customHeight="1">
      <c r="A484" s="5"/>
    </row>
    <row r="485" spans="1:1" ht="14.25" customHeight="1">
      <c r="A485" s="5"/>
    </row>
    <row r="486" spans="1:1" ht="14.25" customHeight="1">
      <c r="A486" s="5"/>
    </row>
    <row r="487" spans="1:1" ht="14.25" customHeight="1">
      <c r="A487" s="5"/>
    </row>
    <row r="488" spans="1:1" ht="14.25" customHeight="1">
      <c r="A488" s="5"/>
    </row>
    <row r="489" spans="1:1" ht="14.25" customHeight="1">
      <c r="A489" s="5"/>
    </row>
    <row r="490" spans="1:1" ht="14.25" customHeight="1">
      <c r="A490" s="5"/>
    </row>
    <row r="491" spans="1:1" ht="14.25" customHeight="1">
      <c r="A491" s="5"/>
    </row>
    <row r="492" spans="1:1" ht="14.25" customHeight="1">
      <c r="A492" s="5"/>
    </row>
    <row r="493" spans="1:1" ht="14.25" customHeight="1">
      <c r="A493" s="5"/>
    </row>
    <row r="494" spans="1:1" ht="14.25" customHeight="1">
      <c r="A494" s="5"/>
    </row>
    <row r="495" spans="1:1" ht="14.25" customHeight="1">
      <c r="A495" s="5"/>
    </row>
    <row r="496" spans="1:1" ht="14.25" customHeight="1">
      <c r="A496" s="5"/>
    </row>
    <row r="497" spans="1:1" ht="14.25" customHeight="1">
      <c r="A497" s="5"/>
    </row>
    <row r="498" spans="1:1" ht="14.25" customHeight="1">
      <c r="A498" s="5"/>
    </row>
    <row r="499" spans="1:1" ht="14.25" customHeight="1">
      <c r="A499" s="5"/>
    </row>
    <row r="500" spans="1:1" ht="14.25" customHeight="1">
      <c r="A500" s="5"/>
    </row>
    <row r="501" spans="1:1" ht="14.25" customHeight="1">
      <c r="A501" s="5"/>
    </row>
    <row r="502" spans="1:1" ht="14.25" customHeight="1">
      <c r="A502" s="5"/>
    </row>
    <row r="503" spans="1:1" ht="14.25" customHeight="1">
      <c r="A503" s="5"/>
    </row>
    <row r="504" spans="1:1" ht="14.25" customHeight="1">
      <c r="A504" s="5"/>
    </row>
    <row r="505" spans="1:1" ht="14.25" customHeight="1">
      <c r="A505" s="5"/>
    </row>
    <row r="506" spans="1:1" ht="14.25" customHeight="1">
      <c r="A506" s="5"/>
    </row>
    <row r="507" spans="1:1" ht="14.25" customHeight="1">
      <c r="A507" s="5"/>
    </row>
    <row r="508" spans="1:1" ht="14.25" customHeight="1">
      <c r="A508" s="5"/>
    </row>
    <row r="509" spans="1:1" ht="14.25" customHeight="1">
      <c r="A509" s="5"/>
    </row>
    <row r="510" spans="1:1" ht="14.25" customHeight="1">
      <c r="A510" s="5"/>
    </row>
    <row r="511" spans="1:1" ht="14.25" customHeight="1">
      <c r="A511" s="5"/>
    </row>
    <row r="512" spans="1:1" ht="14.25" customHeight="1">
      <c r="A512" s="5"/>
    </row>
    <row r="513" spans="1:1" ht="14.25" customHeight="1">
      <c r="A513" s="5"/>
    </row>
    <row r="514" spans="1:1" ht="14.25" customHeight="1">
      <c r="A514" s="5"/>
    </row>
    <row r="515" spans="1:1" ht="14.25" customHeight="1">
      <c r="A515" s="5"/>
    </row>
    <row r="516" spans="1:1" ht="14.25" customHeight="1">
      <c r="A516" s="5"/>
    </row>
    <row r="517" spans="1:1" ht="14.25" customHeight="1">
      <c r="A517" s="5"/>
    </row>
    <row r="518" spans="1:1" ht="14.25" customHeight="1">
      <c r="A518" s="5"/>
    </row>
    <row r="519" spans="1:1" ht="14.25" customHeight="1">
      <c r="A519" s="5"/>
    </row>
    <row r="520" spans="1:1" ht="14.25" customHeight="1">
      <c r="A520" s="5"/>
    </row>
    <row r="521" spans="1:1" ht="14.25" customHeight="1">
      <c r="A521" s="5"/>
    </row>
    <row r="522" spans="1:1" ht="14.25" customHeight="1">
      <c r="A522" s="5"/>
    </row>
    <row r="523" spans="1:1" ht="14.25" customHeight="1">
      <c r="A523" s="5"/>
    </row>
    <row r="524" spans="1:1" ht="14.25" customHeight="1">
      <c r="A524" s="5"/>
    </row>
    <row r="525" spans="1:1" ht="14.25" customHeight="1">
      <c r="A525" s="5"/>
    </row>
    <row r="526" spans="1:1" ht="14.25" customHeight="1">
      <c r="A526" s="5"/>
    </row>
    <row r="527" spans="1:1" ht="14.25" customHeight="1">
      <c r="A527" s="5"/>
    </row>
    <row r="528" spans="1:1" ht="14.25" customHeight="1">
      <c r="A528" s="5"/>
    </row>
    <row r="529" spans="1:1" ht="14.25" customHeight="1">
      <c r="A529" s="5"/>
    </row>
    <row r="530" spans="1:1" ht="14.25" customHeight="1">
      <c r="A530" s="5"/>
    </row>
    <row r="531" spans="1:1" ht="14.25" customHeight="1">
      <c r="A531" s="5"/>
    </row>
    <row r="532" spans="1:1" ht="14.25" customHeight="1">
      <c r="A532" s="5"/>
    </row>
    <row r="533" spans="1:1" ht="14.25" customHeight="1">
      <c r="A533" s="5"/>
    </row>
    <row r="534" spans="1:1" ht="14.25" customHeight="1">
      <c r="A534" s="5"/>
    </row>
    <row r="535" spans="1:1" ht="14.25" customHeight="1">
      <c r="A535" s="5"/>
    </row>
    <row r="536" spans="1:1" ht="14.25" customHeight="1">
      <c r="A536" s="5"/>
    </row>
    <row r="537" spans="1:1" ht="14.25" customHeight="1">
      <c r="A537" s="5"/>
    </row>
    <row r="538" spans="1:1" ht="14.25" customHeight="1">
      <c r="A538" s="5"/>
    </row>
    <row r="539" spans="1:1" ht="14.25" customHeight="1">
      <c r="A539" s="5"/>
    </row>
    <row r="540" spans="1:1" ht="14.25" customHeight="1">
      <c r="A540" s="5"/>
    </row>
    <row r="541" spans="1:1" ht="14.25" customHeight="1">
      <c r="A541" s="5"/>
    </row>
    <row r="542" spans="1:1" ht="14.25" customHeight="1">
      <c r="A542" s="5"/>
    </row>
    <row r="543" spans="1:1" ht="14.25" customHeight="1">
      <c r="A543" s="5"/>
    </row>
    <row r="544" spans="1:1" ht="14.25" customHeight="1">
      <c r="A544" s="5"/>
    </row>
    <row r="545" spans="1:1" ht="14.25" customHeight="1">
      <c r="A545" s="5"/>
    </row>
    <row r="546" spans="1:1" ht="14.25" customHeight="1">
      <c r="A546" s="5"/>
    </row>
    <row r="547" spans="1:1" ht="14.25" customHeight="1">
      <c r="A547" s="5"/>
    </row>
    <row r="548" spans="1:1" ht="14.25" customHeight="1">
      <c r="A548" s="5"/>
    </row>
    <row r="549" spans="1:1" ht="14.25" customHeight="1">
      <c r="A549" s="5"/>
    </row>
    <row r="550" spans="1:1" ht="14.25" customHeight="1">
      <c r="A550" s="5"/>
    </row>
    <row r="551" spans="1:1" ht="14.25" customHeight="1">
      <c r="A551" s="5"/>
    </row>
    <row r="552" spans="1:1" ht="14.25" customHeight="1">
      <c r="A552" s="5"/>
    </row>
    <row r="553" spans="1:1" ht="14.25" customHeight="1">
      <c r="A553" s="5"/>
    </row>
    <row r="554" spans="1:1" ht="14.25" customHeight="1">
      <c r="A554" s="5"/>
    </row>
    <row r="555" spans="1:1" ht="14.25" customHeight="1">
      <c r="A555" s="5"/>
    </row>
    <row r="556" spans="1:1" ht="14.25" customHeight="1">
      <c r="A556" s="5"/>
    </row>
    <row r="557" spans="1:1" ht="14.25" customHeight="1">
      <c r="A557" s="5"/>
    </row>
    <row r="558" spans="1:1" ht="14.25" customHeight="1">
      <c r="A558" s="5"/>
    </row>
    <row r="559" spans="1:1" ht="14.25" customHeight="1">
      <c r="A559" s="5"/>
    </row>
    <row r="560" spans="1:1" ht="14.25" customHeight="1">
      <c r="A560" s="5"/>
    </row>
    <row r="561" spans="1:1" ht="14.25" customHeight="1">
      <c r="A561" s="5"/>
    </row>
    <row r="562" spans="1:1" ht="14.25" customHeight="1">
      <c r="A562" s="5"/>
    </row>
    <row r="563" spans="1:1" ht="14.25" customHeight="1">
      <c r="A563" s="5"/>
    </row>
    <row r="564" spans="1:1" ht="14.25" customHeight="1">
      <c r="A564" s="5"/>
    </row>
    <row r="565" spans="1:1" ht="14.25" customHeight="1">
      <c r="A565" s="5"/>
    </row>
    <row r="566" spans="1:1" ht="14.25" customHeight="1">
      <c r="A566" s="5"/>
    </row>
    <row r="567" spans="1:1" ht="14.25" customHeight="1">
      <c r="A567" s="5"/>
    </row>
    <row r="568" spans="1:1" ht="14.25" customHeight="1">
      <c r="A568" s="5"/>
    </row>
    <row r="569" spans="1:1" ht="14.25" customHeight="1">
      <c r="A569" s="5"/>
    </row>
    <row r="570" spans="1:1" ht="14.25" customHeight="1">
      <c r="A570" s="5"/>
    </row>
    <row r="571" spans="1:1" ht="14.25" customHeight="1">
      <c r="A571" s="5"/>
    </row>
    <row r="572" spans="1:1" ht="14.25" customHeight="1">
      <c r="A572" s="5"/>
    </row>
    <row r="573" spans="1:1" ht="14.25" customHeight="1">
      <c r="A573" s="5"/>
    </row>
    <row r="574" spans="1:1" ht="14.25" customHeight="1">
      <c r="A574" s="5"/>
    </row>
    <row r="575" spans="1:1" ht="14.25" customHeight="1">
      <c r="A575" s="5"/>
    </row>
    <row r="576" spans="1:1" ht="14.25" customHeight="1">
      <c r="A576" s="5"/>
    </row>
    <row r="577" spans="1:1" ht="14.25" customHeight="1">
      <c r="A577" s="5"/>
    </row>
    <row r="578" spans="1:1" ht="14.25" customHeight="1">
      <c r="A578" s="5"/>
    </row>
    <row r="579" spans="1:1" ht="14.25" customHeight="1">
      <c r="A579" s="5"/>
    </row>
    <row r="580" spans="1:1" ht="14.25" customHeight="1">
      <c r="A580" s="5"/>
    </row>
    <row r="581" spans="1:1" ht="14.25" customHeight="1">
      <c r="A581" s="5"/>
    </row>
    <row r="582" spans="1:1" ht="14.25" customHeight="1">
      <c r="A582" s="5"/>
    </row>
    <row r="583" spans="1:1" ht="14.25" customHeight="1">
      <c r="A583" s="5"/>
    </row>
    <row r="584" spans="1:1" ht="14.25" customHeight="1">
      <c r="A584" s="5"/>
    </row>
    <row r="585" spans="1:1" ht="14.25" customHeight="1">
      <c r="A585" s="5"/>
    </row>
    <row r="586" spans="1:1" ht="14.25" customHeight="1">
      <c r="A586" s="5"/>
    </row>
    <row r="587" spans="1:1" ht="14.25" customHeight="1">
      <c r="A587" s="5"/>
    </row>
    <row r="588" spans="1:1" ht="14.25" customHeight="1">
      <c r="A588" s="5"/>
    </row>
    <row r="589" spans="1:1" ht="14.25" customHeight="1">
      <c r="A589" s="5"/>
    </row>
    <row r="590" spans="1:1" ht="14.25" customHeight="1">
      <c r="A590" s="5"/>
    </row>
    <row r="591" spans="1:1" ht="14.25" customHeight="1">
      <c r="A591" s="5"/>
    </row>
    <row r="592" spans="1:1" ht="14.25" customHeight="1">
      <c r="A592" s="5"/>
    </row>
    <row r="593" spans="1:1" ht="14.25" customHeight="1">
      <c r="A593" s="5"/>
    </row>
    <row r="594" spans="1:1" ht="14.25" customHeight="1">
      <c r="A594" s="5"/>
    </row>
    <row r="595" spans="1:1" ht="14.25" customHeight="1">
      <c r="A595" s="5"/>
    </row>
    <row r="596" spans="1:1" ht="14.25" customHeight="1">
      <c r="A596" s="5"/>
    </row>
    <row r="597" spans="1:1" ht="14.25" customHeight="1">
      <c r="A597" s="5"/>
    </row>
    <row r="598" spans="1:1" ht="14.25" customHeight="1">
      <c r="A598" s="5"/>
    </row>
    <row r="599" spans="1:1" ht="14.25" customHeight="1">
      <c r="A599" s="5"/>
    </row>
    <row r="600" spans="1:1" ht="14.25" customHeight="1">
      <c r="A600" s="5"/>
    </row>
    <row r="601" spans="1:1" ht="14.25" customHeight="1">
      <c r="A601" s="5"/>
    </row>
    <row r="602" spans="1:1" ht="14.25" customHeight="1">
      <c r="A602" s="5"/>
    </row>
    <row r="603" spans="1:1" ht="14.25" customHeight="1">
      <c r="A603" s="5"/>
    </row>
    <row r="604" spans="1:1" ht="14.25" customHeight="1">
      <c r="A604" s="5"/>
    </row>
    <row r="605" spans="1:1" ht="14.25" customHeight="1">
      <c r="A605" s="5"/>
    </row>
    <row r="606" spans="1:1" ht="14.25" customHeight="1">
      <c r="A606" s="5"/>
    </row>
    <row r="607" spans="1:1" ht="14.25" customHeight="1">
      <c r="A607" s="5"/>
    </row>
    <row r="608" spans="1:1" ht="14.25" customHeight="1">
      <c r="A608" s="5"/>
    </row>
    <row r="609" spans="1:1" ht="14.25" customHeight="1">
      <c r="A609" s="5"/>
    </row>
    <row r="610" spans="1:1" ht="14.25" customHeight="1">
      <c r="A610" s="5"/>
    </row>
    <row r="611" spans="1:1" ht="14.25" customHeight="1">
      <c r="A611" s="5"/>
    </row>
    <row r="612" spans="1:1" ht="14.25" customHeight="1">
      <c r="A612" s="5"/>
    </row>
    <row r="613" spans="1:1" ht="14.25" customHeight="1">
      <c r="A613" s="5"/>
    </row>
    <row r="614" spans="1:1" ht="14.25" customHeight="1">
      <c r="A614" s="5"/>
    </row>
    <row r="615" spans="1:1" ht="14.25" customHeight="1">
      <c r="A615" s="5"/>
    </row>
    <row r="616" spans="1:1" ht="14.25" customHeight="1">
      <c r="A616" s="5"/>
    </row>
    <row r="617" spans="1:1" ht="14.25" customHeight="1">
      <c r="A617" s="5"/>
    </row>
    <row r="618" spans="1:1" ht="14.25" customHeight="1">
      <c r="A618" s="5"/>
    </row>
    <row r="619" spans="1:1" ht="14.25" customHeight="1">
      <c r="A619" s="5"/>
    </row>
    <row r="620" spans="1:1" ht="14.25" customHeight="1">
      <c r="A620" s="5"/>
    </row>
    <row r="621" spans="1:1" ht="14.25" customHeight="1">
      <c r="A621" s="5"/>
    </row>
    <row r="622" spans="1:1" ht="14.25" customHeight="1">
      <c r="A622" s="5"/>
    </row>
    <row r="623" spans="1:1" ht="14.25" customHeight="1">
      <c r="A623" s="5"/>
    </row>
    <row r="624" spans="1:1" ht="14.25" customHeight="1">
      <c r="A624" s="5"/>
    </row>
    <row r="625" spans="1:1" ht="14.25" customHeight="1">
      <c r="A625" s="5"/>
    </row>
    <row r="626" spans="1:1" ht="14.25" customHeight="1">
      <c r="A626" s="5"/>
    </row>
    <row r="627" spans="1:1" ht="14.25" customHeight="1">
      <c r="A627" s="5"/>
    </row>
    <row r="628" spans="1:1" ht="14.25" customHeight="1">
      <c r="A628" s="5"/>
    </row>
    <row r="629" spans="1:1" ht="14.25" customHeight="1">
      <c r="A629" s="5"/>
    </row>
    <row r="630" spans="1:1" ht="14.25" customHeight="1">
      <c r="A630" s="5"/>
    </row>
    <row r="631" spans="1:1" ht="14.25" customHeight="1">
      <c r="A631" s="5"/>
    </row>
    <row r="632" spans="1:1" ht="14.25" customHeight="1">
      <c r="A632" s="5"/>
    </row>
    <row r="633" spans="1:1" ht="14.25" customHeight="1">
      <c r="A633" s="5"/>
    </row>
    <row r="634" spans="1:1" ht="14.25" customHeight="1">
      <c r="A634" s="5"/>
    </row>
    <row r="635" spans="1:1" ht="14.25" customHeight="1">
      <c r="A635" s="5"/>
    </row>
    <row r="636" spans="1:1" ht="14.25" customHeight="1">
      <c r="A636" s="5"/>
    </row>
    <row r="637" spans="1:1" ht="14.25" customHeight="1">
      <c r="A637" s="5"/>
    </row>
    <row r="638" spans="1:1" ht="14.25" customHeight="1">
      <c r="A638" s="5"/>
    </row>
    <row r="639" spans="1:1" ht="14.25" customHeight="1">
      <c r="A639" s="5"/>
    </row>
    <row r="640" spans="1:1" ht="14.25" customHeight="1">
      <c r="A640" s="5"/>
    </row>
    <row r="641" spans="1:1" ht="14.25" customHeight="1">
      <c r="A641" s="5"/>
    </row>
    <row r="642" spans="1:1" ht="14.25" customHeight="1">
      <c r="A642" s="5"/>
    </row>
    <row r="643" spans="1:1" ht="14.25" customHeight="1">
      <c r="A643" s="5"/>
    </row>
    <row r="644" spans="1:1" ht="14.25" customHeight="1">
      <c r="A644" s="5"/>
    </row>
    <row r="645" spans="1:1" ht="14.25" customHeight="1">
      <c r="A645" s="5"/>
    </row>
    <row r="646" spans="1:1" ht="14.25" customHeight="1">
      <c r="A646" s="5"/>
    </row>
    <row r="647" spans="1:1" ht="14.25" customHeight="1">
      <c r="A647" s="5"/>
    </row>
    <row r="648" spans="1:1" ht="14.25" customHeight="1">
      <c r="A648" s="5"/>
    </row>
    <row r="649" spans="1:1" ht="14.25" customHeight="1">
      <c r="A649" s="5"/>
    </row>
    <row r="650" spans="1:1" ht="14.25" customHeight="1">
      <c r="A650" s="5"/>
    </row>
    <row r="651" spans="1:1" ht="14.25" customHeight="1">
      <c r="A651" s="5"/>
    </row>
    <row r="652" spans="1:1" ht="14.25" customHeight="1">
      <c r="A652" s="5"/>
    </row>
    <row r="653" spans="1:1" ht="14.25" customHeight="1">
      <c r="A653" s="5"/>
    </row>
    <row r="654" spans="1:1" ht="14.25" customHeight="1">
      <c r="A654" s="5"/>
    </row>
    <row r="655" spans="1:1" ht="14.25" customHeight="1">
      <c r="A655" s="5"/>
    </row>
    <row r="656" spans="1:1" ht="14.25" customHeight="1">
      <c r="A656" s="5"/>
    </row>
    <row r="657" spans="1:1" ht="14.25" customHeight="1">
      <c r="A657" s="5"/>
    </row>
    <row r="658" spans="1:1" ht="14.25" customHeight="1">
      <c r="A658" s="5"/>
    </row>
    <row r="659" spans="1:1" ht="14.25" customHeight="1">
      <c r="A659" s="5"/>
    </row>
    <row r="660" spans="1:1" ht="14.25" customHeight="1">
      <c r="A660" s="5"/>
    </row>
    <row r="661" spans="1:1" ht="14.25" customHeight="1">
      <c r="A661" s="5"/>
    </row>
    <row r="662" spans="1:1" ht="14.25" customHeight="1">
      <c r="A662" s="5"/>
    </row>
    <row r="663" spans="1:1" ht="14.25" customHeight="1">
      <c r="A663" s="5"/>
    </row>
    <row r="664" spans="1:1" ht="14.25" customHeight="1">
      <c r="A664" s="5"/>
    </row>
    <row r="665" spans="1:1" ht="14.25" customHeight="1">
      <c r="A665" s="5"/>
    </row>
    <row r="666" spans="1:1" ht="14.25" customHeight="1">
      <c r="A666" s="5"/>
    </row>
    <row r="667" spans="1:1" ht="14.25" customHeight="1">
      <c r="A667" s="5"/>
    </row>
    <row r="668" spans="1:1" ht="14.25" customHeight="1">
      <c r="A668" s="5"/>
    </row>
    <row r="669" spans="1:1" ht="14.25" customHeight="1">
      <c r="A669" s="5"/>
    </row>
    <row r="670" spans="1:1" ht="14.25" customHeight="1">
      <c r="A670" s="5"/>
    </row>
    <row r="671" spans="1:1" ht="14.25" customHeight="1">
      <c r="A671" s="5"/>
    </row>
    <row r="672" spans="1:1" ht="14.25" customHeight="1">
      <c r="A672" s="5"/>
    </row>
    <row r="673" spans="1:1" ht="14.25" customHeight="1">
      <c r="A673" s="5"/>
    </row>
    <row r="674" spans="1:1" ht="14.25" customHeight="1">
      <c r="A674" s="5"/>
    </row>
    <row r="675" spans="1:1" ht="14.25" customHeight="1">
      <c r="A675" s="5"/>
    </row>
    <row r="676" spans="1:1" ht="14.25" customHeight="1">
      <c r="A676" s="5"/>
    </row>
    <row r="677" spans="1:1" ht="14.25" customHeight="1">
      <c r="A677" s="5"/>
    </row>
    <row r="678" spans="1:1" ht="14.25" customHeight="1">
      <c r="A678" s="5"/>
    </row>
    <row r="679" spans="1:1" ht="14.25" customHeight="1">
      <c r="A679" s="5"/>
    </row>
    <row r="680" spans="1:1" ht="14.25" customHeight="1">
      <c r="A680" s="5"/>
    </row>
    <row r="681" spans="1:1" ht="14.25" customHeight="1">
      <c r="A681" s="5"/>
    </row>
    <row r="682" spans="1:1" ht="14.25" customHeight="1">
      <c r="A682" s="5"/>
    </row>
    <row r="683" spans="1:1" ht="14.25" customHeight="1">
      <c r="A683" s="5"/>
    </row>
    <row r="684" spans="1:1" ht="14.25" customHeight="1">
      <c r="A684" s="5"/>
    </row>
    <row r="685" spans="1:1" ht="14.25" customHeight="1">
      <c r="A685" s="5"/>
    </row>
    <row r="686" spans="1:1" ht="14.25" customHeight="1">
      <c r="A686" s="5"/>
    </row>
    <row r="687" spans="1:1" ht="14.25" customHeight="1">
      <c r="A687" s="5"/>
    </row>
    <row r="688" spans="1:1" ht="14.25" customHeight="1">
      <c r="A688" s="5"/>
    </row>
    <row r="689" spans="1:1" ht="14.25" customHeight="1">
      <c r="A689" s="5"/>
    </row>
    <row r="690" spans="1:1" ht="14.25" customHeight="1">
      <c r="A690" s="5"/>
    </row>
    <row r="691" spans="1:1" ht="14.25" customHeight="1">
      <c r="A691" s="5"/>
    </row>
    <row r="692" spans="1:1" ht="14.25" customHeight="1">
      <c r="A692" s="5"/>
    </row>
    <row r="693" spans="1:1" ht="14.25" customHeight="1">
      <c r="A693" s="5"/>
    </row>
    <row r="694" spans="1:1" ht="14.25" customHeight="1">
      <c r="A694" s="5"/>
    </row>
    <row r="695" spans="1:1" ht="14.25" customHeight="1">
      <c r="A695" s="5"/>
    </row>
    <row r="696" spans="1:1" ht="14.25" customHeight="1">
      <c r="A696" s="5"/>
    </row>
    <row r="697" spans="1:1" ht="14.25" customHeight="1">
      <c r="A697" s="5"/>
    </row>
    <row r="698" spans="1:1" ht="14.25" customHeight="1">
      <c r="A698" s="5"/>
    </row>
    <row r="699" spans="1:1" ht="14.25" customHeight="1">
      <c r="A699" s="5"/>
    </row>
    <row r="700" spans="1:1" ht="14.25" customHeight="1">
      <c r="A700" s="5"/>
    </row>
    <row r="701" spans="1:1" ht="14.25" customHeight="1">
      <c r="A701" s="5"/>
    </row>
    <row r="702" spans="1:1" ht="14.25" customHeight="1">
      <c r="A702" s="5"/>
    </row>
    <row r="703" spans="1:1" ht="14.25" customHeight="1">
      <c r="A703" s="5"/>
    </row>
    <row r="704" spans="1:1" ht="14.25" customHeight="1">
      <c r="A704" s="5"/>
    </row>
    <row r="705" spans="1:1" ht="14.25" customHeight="1">
      <c r="A705" s="5"/>
    </row>
    <row r="706" spans="1:1" ht="14.25" customHeight="1">
      <c r="A706" s="5"/>
    </row>
    <row r="707" spans="1:1" ht="14.25" customHeight="1">
      <c r="A707" s="5"/>
    </row>
    <row r="708" spans="1:1" ht="14.25" customHeight="1">
      <c r="A708" s="5"/>
    </row>
    <row r="709" spans="1:1" ht="14.25" customHeight="1">
      <c r="A709" s="5"/>
    </row>
    <row r="710" spans="1:1" ht="14.25" customHeight="1">
      <c r="A710" s="5"/>
    </row>
    <row r="711" spans="1:1" ht="14.25" customHeight="1">
      <c r="A711" s="5"/>
    </row>
    <row r="712" spans="1:1" ht="14.25" customHeight="1">
      <c r="A712" s="5"/>
    </row>
    <row r="713" spans="1:1" ht="14.25" customHeight="1">
      <c r="A713" s="5"/>
    </row>
    <row r="714" spans="1:1" ht="14.25" customHeight="1">
      <c r="A714" s="5"/>
    </row>
    <row r="715" spans="1:1" ht="14.25" customHeight="1">
      <c r="A715" s="5"/>
    </row>
    <row r="716" spans="1:1" ht="14.25" customHeight="1">
      <c r="A716" s="5"/>
    </row>
    <row r="717" spans="1:1" ht="14.25" customHeight="1">
      <c r="A717" s="5"/>
    </row>
    <row r="718" spans="1:1" ht="14.25" customHeight="1">
      <c r="A718" s="5"/>
    </row>
    <row r="719" spans="1:1" ht="14.25" customHeight="1">
      <c r="A719" s="5"/>
    </row>
    <row r="720" spans="1:1" ht="14.25" customHeight="1">
      <c r="A720" s="5"/>
    </row>
    <row r="721" spans="1:1" ht="14.25" customHeight="1">
      <c r="A721" s="5"/>
    </row>
    <row r="722" spans="1:1" ht="14.25" customHeight="1">
      <c r="A722" s="5"/>
    </row>
    <row r="723" spans="1:1" ht="14.25" customHeight="1">
      <c r="A723" s="5"/>
    </row>
    <row r="724" spans="1:1" ht="14.25" customHeight="1">
      <c r="A724" s="5"/>
    </row>
    <row r="725" spans="1:1" ht="14.25" customHeight="1">
      <c r="A725" s="5"/>
    </row>
    <row r="726" spans="1:1" ht="14.25" customHeight="1">
      <c r="A726" s="5"/>
    </row>
    <row r="727" spans="1:1" ht="14.25" customHeight="1">
      <c r="A727" s="5"/>
    </row>
    <row r="728" spans="1:1" ht="14.25" customHeight="1">
      <c r="A728" s="5"/>
    </row>
    <row r="729" spans="1:1" ht="14.25" customHeight="1">
      <c r="A729" s="5"/>
    </row>
    <row r="730" spans="1:1" ht="14.25" customHeight="1">
      <c r="A730" s="5"/>
    </row>
    <row r="731" spans="1:1" ht="14.25" customHeight="1">
      <c r="A731" s="5"/>
    </row>
    <row r="732" spans="1:1" ht="14.25" customHeight="1">
      <c r="A732" s="5"/>
    </row>
    <row r="733" spans="1:1" ht="14.25" customHeight="1">
      <c r="A733" s="5"/>
    </row>
    <row r="734" spans="1:1" ht="14.25" customHeight="1">
      <c r="A734" s="5"/>
    </row>
    <row r="735" spans="1:1" ht="14.25" customHeight="1">
      <c r="A735" s="5"/>
    </row>
    <row r="736" spans="1:1" ht="14.25" customHeight="1">
      <c r="A736" s="5"/>
    </row>
    <row r="737" spans="1:1" ht="14.25" customHeight="1">
      <c r="A737" s="5"/>
    </row>
    <row r="738" spans="1:1" ht="14.25" customHeight="1">
      <c r="A738" s="5"/>
    </row>
    <row r="739" spans="1:1" ht="14.25" customHeight="1">
      <c r="A739" s="5"/>
    </row>
    <row r="740" spans="1:1" ht="14.25" customHeight="1">
      <c r="A740" s="5"/>
    </row>
    <row r="741" spans="1:1" ht="14.25" customHeight="1">
      <c r="A741" s="5"/>
    </row>
    <row r="742" spans="1:1" ht="14.25" customHeight="1">
      <c r="A742" s="5"/>
    </row>
    <row r="743" spans="1:1" ht="14.25" customHeight="1">
      <c r="A743" s="5"/>
    </row>
    <row r="744" spans="1:1" ht="14.25" customHeight="1">
      <c r="A744" s="5"/>
    </row>
    <row r="745" spans="1:1" ht="14.25" customHeight="1">
      <c r="A745" s="5"/>
    </row>
    <row r="746" spans="1:1" ht="14.25" customHeight="1">
      <c r="A746" s="5"/>
    </row>
    <row r="747" spans="1:1" ht="14.25" customHeight="1">
      <c r="A747" s="5"/>
    </row>
    <row r="748" spans="1:1" ht="14.25" customHeight="1">
      <c r="A748" s="5"/>
    </row>
    <row r="749" spans="1:1" ht="14.25" customHeight="1">
      <c r="A749" s="5"/>
    </row>
    <row r="750" spans="1:1" ht="14.25" customHeight="1">
      <c r="A750" s="5"/>
    </row>
    <row r="751" spans="1:1" ht="14.25" customHeight="1">
      <c r="A751" s="5"/>
    </row>
    <row r="752" spans="1:1" ht="14.25" customHeight="1">
      <c r="A752" s="5"/>
    </row>
    <row r="753" spans="1:1" ht="14.25" customHeight="1">
      <c r="A753" s="5"/>
    </row>
    <row r="754" spans="1:1" ht="14.25" customHeight="1">
      <c r="A754" s="5"/>
    </row>
    <row r="755" spans="1:1" ht="14.25" customHeight="1">
      <c r="A755" s="5"/>
    </row>
    <row r="756" spans="1:1" ht="14.25" customHeight="1">
      <c r="A756" s="5"/>
    </row>
    <row r="757" spans="1:1" ht="14.25" customHeight="1">
      <c r="A757" s="5"/>
    </row>
    <row r="758" spans="1:1" ht="14.25" customHeight="1">
      <c r="A758" s="5"/>
    </row>
    <row r="759" spans="1:1" ht="14.25" customHeight="1">
      <c r="A759" s="5"/>
    </row>
    <row r="760" spans="1:1" ht="14.25" customHeight="1">
      <c r="A760" s="5"/>
    </row>
    <row r="761" spans="1:1" ht="14.25" customHeight="1">
      <c r="A761" s="5"/>
    </row>
    <row r="762" spans="1:1" ht="14.25" customHeight="1">
      <c r="A762" s="5"/>
    </row>
    <row r="763" spans="1:1" ht="14.25" customHeight="1">
      <c r="A763" s="5"/>
    </row>
    <row r="764" spans="1:1" ht="14.25" customHeight="1">
      <c r="A764" s="5"/>
    </row>
    <row r="765" spans="1:1" ht="14.25" customHeight="1">
      <c r="A765" s="5"/>
    </row>
    <row r="766" spans="1:1" ht="14.25" customHeight="1">
      <c r="A766" s="5"/>
    </row>
    <row r="767" spans="1:1" ht="14.25" customHeight="1">
      <c r="A767" s="5"/>
    </row>
    <row r="768" spans="1:1" ht="14.25" customHeight="1">
      <c r="A768" s="5"/>
    </row>
    <row r="769" spans="1:1" ht="14.25" customHeight="1">
      <c r="A769" s="5"/>
    </row>
    <row r="770" spans="1:1" ht="14.25" customHeight="1">
      <c r="A770" s="5"/>
    </row>
    <row r="771" spans="1:1" ht="14.25" customHeight="1">
      <c r="A771" s="5"/>
    </row>
    <row r="772" spans="1:1" ht="14.25" customHeight="1">
      <c r="A772" s="5"/>
    </row>
    <row r="773" spans="1:1" ht="14.25" customHeight="1">
      <c r="A773" s="5"/>
    </row>
    <row r="774" spans="1:1" ht="14.25" customHeight="1">
      <c r="A774" s="5"/>
    </row>
    <row r="775" spans="1:1" ht="14.25" customHeight="1">
      <c r="A775" s="5"/>
    </row>
    <row r="776" spans="1:1" ht="14.25" customHeight="1">
      <c r="A776" s="5"/>
    </row>
    <row r="777" spans="1:1" ht="14.25" customHeight="1">
      <c r="A777" s="5"/>
    </row>
    <row r="778" spans="1:1" ht="14.25" customHeight="1">
      <c r="A778" s="5"/>
    </row>
    <row r="779" spans="1:1" ht="14.25" customHeight="1">
      <c r="A779" s="5"/>
    </row>
    <row r="780" spans="1:1" ht="14.25" customHeight="1">
      <c r="A780" s="5"/>
    </row>
    <row r="781" spans="1:1" ht="14.25" customHeight="1">
      <c r="A781" s="5"/>
    </row>
    <row r="782" spans="1:1" ht="14.25" customHeight="1">
      <c r="A782" s="5"/>
    </row>
    <row r="783" spans="1:1" ht="14.25" customHeight="1">
      <c r="A783" s="5"/>
    </row>
    <row r="784" spans="1:1" ht="14.25" customHeight="1">
      <c r="A784" s="5"/>
    </row>
    <row r="785" spans="1:1" ht="14.25" customHeight="1">
      <c r="A785" s="5"/>
    </row>
    <row r="786" spans="1:1" ht="14.25" customHeight="1">
      <c r="A786" s="5"/>
    </row>
    <row r="787" spans="1:1" ht="14.25" customHeight="1">
      <c r="A787" s="5"/>
    </row>
    <row r="788" spans="1:1" ht="14.25" customHeight="1">
      <c r="A788" s="5"/>
    </row>
    <row r="789" spans="1:1" ht="14.25" customHeight="1">
      <c r="A789" s="5"/>
    </row>
    <row r="790" spans="1:1" ht="14.25" customHeight="1">
      <c r="A790" s="5"/>
    </row>
    <row r="791" spans="1:1" ht="14.25" customHeight="1">
      <c r="A791" s="5"/>
    </row>
    <row r="792" spans="1:1" ht="14.25" customHeight="1">
      <c r="A792" s="5"/>
    </row>
    <row r="793" spans="1:1" ht="14.25" customHeight="1">
      <c r="A793" s="5"/>
    </row>
    <row r="794" spans="1:1" ht="14.25" customHeight="1">
      <c r="A794" s="5"/>
    </row>
    <row r="795" spans="1:1" ht="14.25" customHeight="1">
      <c r="A795" s="5"/>
    </row>
    <row r="796" spans="1:1" ht="14.25" customHeight="1">
      <c r="A796" s="5"/>
    </row>
    <row r="797" spans="1:1" ht="14.25" customHeight="1">
      <c r="A797" s="5"/>
    </row>
    <row r="798" spans="1:1" ht="14.25" customHeight="1">
      <c r="A798" s="5"/>
    </row>
    <row r="799" spans="1:1" ht="14.25" customHeight="1">
      <c r="A799" s="5"/>
    </row>
    <row r="800" spans="1:1" ht="14.25" customHeight="1">
      <c r="A800" s="5"/>
    </row>
    <row r="801" spans="1:1" ht="14.25" customHeight="1">
      <c r="A801" s="5"/>
    </row>
    <row r="802" spans="1:1" ht="14.25" customHeight="1">
      <c r="A802" s="5"/>
    </row>
    <row r="803" spans="1:1" ht="14.25" customHeight="1">
      <c r="A803" s="5"/>
    </row>
    <row r="804" spans="1:1" ht="14.25" customHeight="1">
      <c r="A804" s="5"/>
    </row>
    <row r="805" spans="1:1" ht="14.25" customHeight="1">
      <c r="A805" s="5"/>
    </row>
    <row r="806" spans="1:1" ht="14.25" customHeight="1">
      <c r="A806" s="5"/>
    </row>
    <row r="807" spans="1:1" ht="14.25" customHeight="1">
      <c r="A807" s="5"/>
    </row>
    <row r="808" spans="1:1" ht="14.25" customHeight="1">
      <c r="A808" s="5"/>
    </row>
    <row r="809" spans="1:1" ht="14.25" customHeight="1">
      <c r="A809" s="5"/>
    </row>
    <row r="810" spans="1:1" ht="14.25" customHeight="1">
      <c r="A810" s="5"/>
    </row>
    <row r="811" spans="1:1" ht="14.25" customHeight="1">
      <c r="A811" s="5"/>
    </row>
    <row r="812" spans="1:1" ht="14.25" customHeight="1">
      <c r="A812" s="5"/>
    </row>
    <row r="813" spans="1:1" ht="14.25" customHeight="1">
      <c r="A813" s="5"/>
    </row>
    <row r="814" spans="1:1" ht="14.25" customHeight="1">
      <c r="A814" s="5"/>
    </row>
    <row r="815" spans="1:1" ht="14.25" customHeight="1">
      <c r="A815" s="5"/>
    </row>
    <row r="816" spans="1:1" ht="14.25" customHeight="1">
      <c r="A816" s="5"/>
    </row>
    <row r="817" spans="1:1" ht="14.25" customHeight="1">
      <c r="A817" s="5"/>
    </row>
    <row r="818" spans="1:1" ht="14.25" customHeight="1">
      <c r="A818" s="5"/>
    </row>
    <row r="819" spans="1:1" ht="14.25" customHeight="1">
      <c r="A819" s="5"/>
    </row>
    <row r="820" spans="1:1" ht="14.25" customHeight="1">
      <c r="A820" s="5"/>
    </row>
    <row r="821" spans="1:1" ht="14.25" customHeight="1">
      <c r="A821" s="5"/>
    </row>
    <row r="822" spans="1:1" ht="14.25" customHeight="1">
      <c r="A822" s="5"/>
    </row>
    <row r="823" spans="1:1" ht="14.25" customHeight="1">
      <c r="A823" s="5"/>
    </row>
    <row r="824" spans="1:1" ht="14.25" customHeight="1">
      <c r="A824" s="5"/>
    </row>
    <row r="825" spans="1:1" ht="14.25" customHeight="1">
      <c r="A825" s="5"/>
    </row>
    <row r="826" spans="1:1" ht="14.25" customHeight="1">
      <c r="A826" s="5"/>
    </row>
    <row r="827" spans="1:1" ht="14.25" customHeight="1">
      <c r="A827" s="5"/>
    </row>
    <row r="828" spans="1:1" ht="14.25" customHeight="1">
      <c r="A828" s="5"/>
    </row>
    <row r="829" spans="1:1" ht="14.25" customHeight="1">
      <c r="A829" s="5"/>
    </row>
    <row r="830" spans="1:1" ht="14.25" customHeight="1">
      <c r="A830" s="5"/>
    </row>
    <row r="831" spans="1:1" ht="14.25" customHeight="1">
      <c r="A831" s="5"/>
    </row>
    <row r="832" spans="1:1" ht="14.25" customHeight="1">
      <c r="A832" s="5"/>
    </row>
    <row r="833" spans="1:1" ht="14.25" customHeight="1">
      <c r="A833" s="5"/>
    </row>
    <row r="834" spans="1:1" ht="14.25" customHeight="1">
      <c r="A834" s="5"/>
    </row>
    <row r="835" spans="1:1" ht="14.25" customHeight="1">
      <c r="A835" s="5"/>
    </row>
    <row r="836" spans="1:1" ht="14.25" customHeight="1">
      <c r="A836" s="5"/>
    </row>
    <row r="837" spans="1:1" ht="14.25" customHeight="1">
      <c r="A837" s="5"/>
    </row>
    <row r="838" spans="1:1" ht="14.25" customHeight="1">
      <c r="A838" s="5"/>
    </row>
    <row r="839" spans="1:1" ht="14.25" customHeight="1">
      <c r="A839" s="5"/>
    </row>
    <row r="840" spans="1:1" ht="14.25" customHeight="1">
      <c r="A840" s="5"/>
    </row>
    <row r="841" spans="1:1" ht="14.25" customHeight="1">
      <c r="A841" s="5"/>
    </row>
    <row r="842" spans="1:1" ht="14.25" customHeight="1">
      <c r="A842" s="5"/>
    </row>
    <row r="843" spans="1:1" ht="14.25" customHeight="1">
      <c r="A843" s="5"/>
    </row>
    <row r="844" spans="1:1" ht="14.25" customHeight="1">
      <c r="A844" s="5"/>
    </row>
    <row r="845" spans="1:1" ht="14.25" customHeight="1">
      <c r="A845" s="5"/>
    </row>
    <row r="846" spans="1:1" ht="14.25" customHeight="1">
      <c r="A846" s="5"/>
    </row>
    <row r="847" spans="1:1" ht="14.25" customHeight="1">
      <c r="A847" s="5"/>
    </row>
    <row r="848" spans="1:1" ht="14.25" customHeight="1">
      <c r="A848" s="5"/>
    </row>
    <row r="849" spans="1:1" ht="14.25" customHeight="1">
      <c r="A849" s="5"/>
    </row>
    <row r="850" spans="1:1" ht="14.25" customHeight="1">
      <c r="A850" s="5"/>
    </row>
    <row r="851" spans="1:1" ht="14.25" customHeight="1">
      <c r="A851" s="5"/>
    </row>
    <row r="852" spans="1:1" ht="14.25" customHeight="1">
      <c r="A852" s="5"/>
    </row>
    <row r="853" spans="1:1" ht="14.25" customHeight="1">
      <c r="A853" s="5"/>
    </row>
    <row r="854" spans="1:1" ht="14.25" customHeight="1">
      <c r="A854" s="5"/>
    </row>
    <row r="855" spans="1:1" ht="14.25" customHeight="1">
      <c r="A855" s="5"/>
    </row>
    <row r="856" spans="1:1" ht="14.25" customHeight="1">
      <c r="A856" s="5"/>
    </row>
    <row r="857" spans="1:1" ht="14.25" customHeight="1">
      <c r="A857" s="5"/>
    </row>
    <row r="858" spans="1:1" ht="14.25" customHeight="1">
      <c r="A858" s="5"/>
    </row>
    <row r="859" spans="1:1" ht="14.25" customHeight="1">
      <c r="A859" s="5"/>
    </row>
    <row r="860" spans="1:1" ht="14.25" customHeight="1">
      <c r="A860" s="5"/>
    </row>
    <row r="861" spans="1:1" ht="14.25" customHeight="1">
      <c r="A861" s="5"/>
    </row>
    <row r="862" spans="1:1" ht="14.25" customHeight="1">
      <c r="A862" s="5"/>
    </row>
    <row r="863" spans="1:1" ht="14.25" customHeight="1">
      <c r="A863" s="5"/>
    </row>
    <row r="864" spans="1:1" ht="14.25" customHeight="1">
      <c r="A864" s="5"/>
    </row>
    <row r="865" spans="1:1" ht="14.25" customHeight="1">
      <c r="A865" s="5"/>
    </row>
    <row r="866" spans="1:1" ht="14.25" customHeight="1">
      <c r="A866" s="5"/>
    </row>
    <row r="867" spans="1:1" ht="14.25" customHeight="1">
      <c r="A867" s="5"/>
    </row>
    <row r="868" spans="1:1" ht="14.25" customHeight="1">
      <c r="A868" s="5"/>
    </row>
    <row r="869" spans="1:1" ht="14.25" customHeight="1">
      <c r="A869" s="5"/>
    </row>
    <row r="870" spans="1:1" ht="14.25" customHeight="1">
      <c r="A870" s="5"/>
    </row>
    <row r="871" spans="1:1" ht="14.25" customHeight="1">
      <c r="A871" s="5"/>
    </row>
    <row r="872" spans="1:1" ht="14.25" customHeight="1">
      <c r="A872" s="5"/>
    </row>
    <row r="873" spans="1:1" ht="14.25" customHeight="1">
      <c r="A873" s="5"/>
    </row>
    <row r="874" spans="1:1" ht="14.25" customHeight="1">
      <c r="A874" s="5"/>
    </row>
    <row r="875" spans="1:1" ht="14.25" customHeight="1">
      <c r="A875" s="5"/>
    </row>
    <row r="876" spans="1:1" ht="14.25" customHeight="1">
      <c r="A876" s="5"/>
    </row>
    <row r="877" spans="1:1" ht="14.25" customHeight="1">
      <c r="A877" s="5"/>
    </row>
    <row r="878" spans="1:1" ht="14.25" customHeight="1">
      <c r="A878" s="5"/>
    </row>
    <row r="879" spans="1:1" ht="14.25" customHeight="1">
      <c r="A879" s="5"/>
    </row>
    <row r="880" spans="1:1" ht="14.25" customHeight="1">
      <c r="A880" s="5"/>
    </row>
    <row r="881" spans="1:1" ht="14.25" customHeight="1">
      <c r="A881" s="5"/>
    </row>
    <row r="882" spans="1:1" ht="14.25" customHeight="1">
      <c r="A882" s="5"/>
    </row>
    <row r="883" spans="1:1" ht="14.25" customHeight="1">
      <c r="A883" s="5"/>
    </row>
    <row r="884" spans="1:1" ht="14.25" customHeight="1">
      <c r="A884" s="5"/>
    </row>
    <row r="885" spans="1:1" ht="14.25" customHeight="1">
      <c r="A885" s="5"/>
    </row>
    <row r="886" spans="1:1" ht="14.25" customHeight="1">
      <c r="A886" s="5"/>
    </row>
    <row r="887" spans="1:1" ht="14.25" customHeight="1">
      <c r="A887" s="5"/>
    </row>
    <row r="888" spans="1:1" ht="14.25" customHeight="1">
      <c r="A888" s="5"/>
    </row>
    <row r="889" spans="1:1" ht="14.25" customHeight="1">
      <c r="A889" s="5"/>
    </row>
    <row r="890" spans="1:1" ht="14.25" customHeight="1">
      <c r="A890" s="5"/>
    </row>
    <row r="891" spans="1:1" ht="14.25" customHeight="1">
      <c r="A891" s="5"/>
    </row>
    <row r="892" spans="1:1" ht="14.25" customHeight="1">
      <c r="A892" s="5"/>
    </row>
    <row r="893" spans="1:1" ht="14.25" customHeight="1">
      <c r="A893" s="5"/>
    </row>
    <row r="894" spans="1:1" ht="14.25" customHeight="1">
      <c r="A894" s="5"/>
    </row>
    <row r="895" spans="1:1" ht="14.25" customHeight="1">
      <c r="A895" s="5"/>
    </row>
    <row r="896" spans="1:1" ht="14.25" customHeight="1">
      <c r="A896" s="5"/>
    </row>
    <row r="897" spans="1:1" ht="14.25" customHeight="1">
      <c r="A897" s="5"/>
    </row>
    <row r="898" spans="1:1" ht="14.25" customHeight="1">
      <c r="A898" s="5"/>
    </row>
    <row r="899" spans="1:1" ht="14.25" customHeight="1">
      <c r="A899" s="5"/>
    </row>
    <row r="900" spans="1:1" ht="14.25" customHeight="1">
      <c r="A900" s="5"/>
    </row>
    <row r="901" spans="1:1" ht="14.25" customHeight="1">
      <c r="A901" s="5"/>
    </row>
    <row r="902" spans="1:1" ht="14.25" customHeight="1">
      <c r="A902" s="5"/>
    </row>
    <row r="903" spans="1:1" ht="14.25" customHeight="1">
      <c r="A903" s="5"/>
    </row>
    <row r="904" spans="1:1" ht="14.25" customHeight="1">
      <c r="A904" s="5"/>
    </row>
    <row r="905" spans="1:1" ht="14.25" customHeight="1">
      <c r="A905" s="5"/>
    </row>
    <row r="906" spans="1:1" ht="14.25" customHeight="1">
      <c r="A906" s="5"/>
    </row>
    <row r="907" spans="1:1" ht="14.25" customHeight="1">
      <c r="A907" s="5"/>
    </row>
    <row r="908" spans="1:1" ht="14.25" customHeight="1">
      <c r="A908" s="5"/>
    </row>
    <row r="909" spans="1:1" ht="14.25" customHeight="1">
      <c r="A909" s="5"/>
    </row>
    <row r="910" spans="1:1" ht="14.25" customHeight="1">
      <c r="A910" s="5"/>
    </row>
    <row r="911" spans="1:1" ht="14.25" customHeight="1">
      <c r="A911" s="5"/>
    </row>
    <row r="912" spans="1:1" ht="14.25" customHeight="1">
      <c r="A912" s="5"/>
    </row>
    <row r="913" spans="1:1" ht="14.25" customHeight="1">
      <c r="A913" s="5"/>
    </row>
    <row r="914" spans="1:1" ht="14.25" customHeight="1">
      <c r="A914" s="5"/>
    </row>
    <row r="915" spans="1:1" ht="14.25" customHeight="1">
      <c r="A915" s="5"/>
    </row>
    <row r="916" spans="1:1" ht="14.25" customHeight="1">
      <c r="A916" s="5"/>
    </row>
    <row r="917" spans="1:1" ht="14.25" customHeight="1">
      <c r="A917" s="5"/>
    </row>
    <row r="918" spans="1:1" ht="14.25" customHeight="1">
      <c r="A918" s="5"/>
    </row>
    <row r="919" spans="1:1" ht="14.25" customHeight="1">
      <c r="A919" s="5"/>
    </row>
    <row r="920" spans="1:1" ht="14.25" customHeight="1">
      <c r="A920" s="5"/>
    </row>
    <row r="921" spans="1:1" ht="14.25" customHeight="1">
      <c r="A921" s="5"/>
    </row>
    <row r="922" spans="1:1" ht="14.25" customHeight="1">
      <c r="A922" s="5"/>
    </row>
    <row r="923" spans="1:1" ht="14.25" customHeight="1">
      <c r="A923" s="5"/>
    </row>
    <row r="924" spans="1:1" ht="14.25" customHeight="1">
      <c r="A924" s="5"/>
    </row>
    <row r="925" spans="1:1" ht="14.25" customHeight="1">
      <c r="A925" s="5"/>
    </row>
    <row r="926" spans="1:1" ht="14.25" customHeight="1">
      <c r="A926" s="5"/>
    </row>
    <row r="927" spans="1:1" ht="14.25" customHeight="1">
      <c r="A927" s="5"/>
    </row>
    <row r="928" spans="1:1" ht="14.25" customHeight="1">
      <c r="A928" s="5"/>
    </row>
    <row r="929" spans="1:1" ht="14.25" customHeight="1">
      <c r="A929" s="5"/>
    </row>
    <row r="930" spans="1:1" ht="14.25" customHeight="1">
      <c r="A930" s="5"/>
    </row>
    <row r="931" spans="1:1" ht="14.25" customHeight="1">
      <c r="A931" s="5"/>
    </row>
    <row r="932" spans="1:1" ht="14.25" customHeight="1">
      <c r="A932" s="5"/>
    </row>
    <row r="933" spans="1:1" ht="14.25" customHeight="1">
      <c r="A933" s="5"/>
    </row>
    <row r="934" spans="1:1" ht="14.25" customHeight="1">
      <c r="A934" s="5"/>
    </row>
    <row r="935" spans="1:1" ht="14.25" customHeight="1">
      <c r="A935" s="5"/>
    </row>
    <row r="936" spans="1:1" ht="14.25" customHeight="1">
      <c r="A936" s="5"/>
    </row>
    <row r="937" spans="1:1" ht="14.25" customHeight="1">
      <c r="A937" s="5"/>
    </row>
    <row r="938" spans="1:1" ht="14.25" customHeight="1">
      <c r="A938" s="5"/>
    </row>
    <row r="939" spans="1:1" ht="14.25" customHeight="1">
      <c r="A939" s="5"/>
    </row>
    <row r="940" spans="1:1" ht="14.25" customHeight="1">
      <c r="A940" s="5"/>
    </row>
    <row r="941" spans="1:1" ht="14.25" customHeight="1">
      <c r="A941" s="5"/>
    </row>
    <row r="942" spans="1:1" ht="14.25" customHeight="1">
      <c r="A942" s="5"/>
    </row>
    <row r="943" spans="1:1" ht="14.25" customHeight="1">
      <c r="A943" s="5"/>
    </row>
    <row r="944" spans="1:1" ht="14.25" customHeight="1">
      <c r="A944" s="5"/>
    </row>
    <row r="945" spans="1:1" ht="14.25" customHeight="1">
      <c r="A945" s="5"/>
    </row>
    <row r="946" spans="1:1" ht="14.25" customHeight="1">
      <c r="A946" s="5"/>
    </row>
    <row r="947" spans="1:1" ht="14.25" customHeight="1">
      <c r="A947" s="5"/>
    </row>
    <row r="948" spans="1:1" ht="14.25" customHeight="1">
      <c r="A948" s="5"/>
    </row>
    <row r="949" spans="1:1" ht="14.25" customHeight="1">
      <c r="A949" s="5"/>
    </row>
    <row r="950" spans="1:1" ht="14.25" customHeight="1">
      <c r="A950" s="5"/>
    </row>
    <row r="951" spans="1:1" ht="14.25" customHeight="1">
      <c r="A951" s="5"/>
    </row>
    <row r="952" spans="1:1" ht="14.25" customHeight="1">
      <c r="A952" s="5"/>
    </row>
    <row r="953" spans="1:1" ht="14.25" customHeight="1">
      <c r="A953" s="5"/>
    </row>
    <row r="954" spans="1:1" ht="14.25" customHeight="1">
      <c r="A954" s="5"/>
    </row>
    <row r="955" spans="1:1" ht="14.25" customHeight="1">
      <c r="A955" s="5"/>
    </row>
    <row r="956" spans="1:1" ht="14.25" customHeight="1">
      <c r="A956" s="5"/>
    </row>
    <row r="957" spans="1:1" ht="14.25" customHeight="1">
      <c r="A957" s="5"/>
    </row>
    <row r="958" spans="1:1" ht="14.25" customHeight="1">
      <c r="A958" s="5"/>
    </row>
    <row r="959" spans="1:1" ht="14.25" customHeight="1">
      <c r="A959" s="5"/>
    </row>
    <row r="960" spans="1:1" ht="14.25" customHeight="1">
      <c r="A960" s="5"/>
    </row>
    <row r="961" spans="1:1" ht="14.25" customHeight="1">
      <c r="A961" s="5"/>
    </row>
    <row r="962" spans="1:1" ht="14.25" customHeight="1">
      <c r="A962" s="5"/>
    </row>
    <row r="963" spans="1:1" ht="14.25" customHeight="1">
      <c r="A963" s="5"/>
    </row>
    <row r="964" spans="1:1" ht="14.25" customHeight="1">
      <c r="A964" s="5"/>
    </row>
    <row r="965" spans="1:1" ht="14.25" customHeight="1">
      <c r="A965" s="5"/>
    </row>
    <row r="966" spans="1:1" ht="14.25" customHeight="1">
      <c r="A966" s="5"/>
    </row>
    <row r="967" spans="1:1" ht="14.25" customHeight="1">
      <c r="A967" s="5"/>
    </row>
    <row r="968" spans="1:1" ht="14.25" customHeight="1">
      <c r="A968" s="5"/>
    </row>
    <row r="969" spans="1:1" ht="14.25" customHeight="1">
      <c r="A969" s="5"/>
    </row>
    <row r="970" spans="1:1" ht="14.25" customHeight="1">
      <c r="A970" s="5"/>
    </row>
    <row r="971" spans="1:1" ht="14.25" customHeight="1">
      <c r="A971" s="5"/>
    </row>
    <row r="972" spans="1:1" ht="14.25" customHeight="1">
      <c r="A972" s="5"/>
    </row>
    <row r="973" spans="1:1" ht="14.25" customHeight="1">
      <c r="A973" s="5"/>
    </row>
  </sheetData>
  <conditionalFormatting sqref="H2:H473">
    <cfRule type="expression" dxfId="6" priority="1">
      <formula>$H2="Interested"</formula>
    </cfRule>
    <cfRule type="expression" dxfId="5" priority="2">
      <formula>$H2="Referral Sent to CCU"</formula>
    </cfRule>
    <cfRule type="expression" dxfId="4" priority="3">
      <formula>$H2="Pending Approval"</formula>
    </cfRule>
    <cfRule type="expression" dxfId="3" priority="4">
      <formula>$H2="Approved / Setup"</formula>
    </cfRule>
    <cfRule type="expression" dxfId="2" priority="5">
      <formula>$H2="Active"</formula>
    </cfRule>
    <cfRule type="expression" dxfId="1" priority="6">
      <formula>OR($H2="On Hold",$H2="Closed")</formula>
    </cfRule>
  </conditionalFormatting>
  <conditionalFormatting sqref="R2:R473">
    <cfRule type="expression" dxfId="0" priority="7">
      <formula>AND($R2&lt;TODAY(),$R2&lt;&gt;"",$H2&lt;&gt;"Active",$H2&lt;&gt;"Closed")</formula>
    </cfRule>
  </conditionalFormatting>
  <dataValidations count="2">
    <dataValidation type="list" allowBlank="1" sqref="Q2:Q473" xr:uid="{00000000-0002-0000-0700-000000000000}">
      <formula1>"Kathleen,Binay,Rajan,Other"</formula1>
    </dataValidation>
    <dataValidation type="list" allowBlank="1" sqref="H2:H473" xr:uid="{00000000-0002-0000-0700-000001000000}">
      <formula1>"Interested,Referral Sent to CCU,Pending Approval,Approved / Setup,Active,On Hold,Closed"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DAILY FOLLOW-UP</vt:lpstr>
      <vt:lpstr>CLIENT PIPELINE</vt:lpstr>
      <vt:lpstr>ACTIVE EMPLOYEES</vt:lpstr>
      <vt:lpstr>READY TO WORK HCA</vt:lpstr>
      <vt:lpstr>HCA APPLICANTS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Rajan Shahi</cp:lastModifiedBy>
  <dcterms:modified xsi:type="dcterms:W3CDTF">2026-10-05T18:45:49Z</dcterms:modified>
</cp:coreProperties>
</file>